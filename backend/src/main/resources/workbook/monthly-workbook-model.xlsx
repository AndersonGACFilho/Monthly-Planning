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 codeName="ThisWorkbook" hidePivotFieldList="1"/>
  <xr:revisionPtr revIDLastSave="2438" documentId="13_ncr:1_{DE7FE513-97A7-4763-A8D8-CA6F7DCB004D}" xr6:coauthVersionLast="47" xr6:coauthVersionMax="47" xr10:uidLastSave="{0826CEC3-45F9-4EA1-A5FC-7B3892A77C96}"/>
  <bookViews>
    <workbookView xWindow="214" yWindow="154" windowWidth="19183" windowHeight="11263" firstSheet="3" activeTab="3" xr2:uid="{00000000-000D-0000-FFFF-FFFF00000000}"/>
  </bookViews>
  <sheets>
    <sheet name="Resumo" sheetId="1" r:id="rId4"/>
    <sheet name="Renda mensal" sheetId="2" r:id="rId5"/>
    <sheet name="Despesas mensais" sheetId="3" r:id="rId6"/>
    <sheet name="Cartões" sheetId="6" r:id="rId7"/>
    <sheet name="MÃE" sheetId="8" r:id="rId8"/>
    <sheet name="Listas" sheetId="7" r:id="rId9"/>
  </sheets>
  <definedNames>
    <definedName name="RegiãoDoTítuloDaLinha1..C8">Resumo!$B$8</definedName>
    <definedName name="RegiãoDoTítuloDaLinha2..C10">Resumo!$B$12</definedName>
    <definedName name="TítuloDaColuna2">Receita[[#Headers],[Item]]</definedName>
    <definedName name="TítuloDaColuna3">Despesas[[#Headers],[Item]]</definedName>
    <definedName name="_xlnm.Print_Titles" localSheetId="3">'Cartões'!$4:$4</definedName>
    <definedName name="_xlnm.Print_Titles" localSheetId="2">'Despesas mensais'!$3:$3</definedName>
    <definedName name="_xlnm.Print_Titles" localSheetId="1">'Renda mensal'!$3:$3</definedName>
    <definedName name="TotalMensaldeDespesas">SUM(Despesas[Valor])</definedName>
    <definedName name="TotalMensaldeRenda">SUM(Receita[Valor])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<sst xmlns="http://schemas.openxmlformats.org/spreadsheetml/2006/main" count="44" uniqueCount="24">
  <si>
    <t>Cota</t>
  </si>
  <si>
    <t/>
  </si>
  <si>
    <t>ORÇAMENTO DE JANEIRO</t>
  </si>
  <si>
    <t>PORCENTAGEM DA RENDA GASTA</t>
  </si>
  <si>
    <t>Categoria</t>
  </si>
  <si>
    <t>Valor</t>
  </si>
  <si>
    <t>TOTAL</t>
  </si>
  <si>
    <t>RESUMO</t>
  </si>
  <si>
    <t>Renda mensal total</t>
  </si>
  <si>
    <t>Despesas mensais totais</t>
  </si>
  <si>
    <t>Despesas Cartão totais</t>
  </si>
  <si>
    <t>SALDO</t>
  </si>
  <si>
    <t>RENDA MENSAL</t>
  </si>
  <si>
    <t>Item</t>
  </si>
  <si>
    <t>Pessoa</t>
  </si>
  <si>
    <t>DESPESAS MENSAIS</t>
  </si>
  <si>
    <t>CARTÕES</t>
  </si>
  <si>
    <t>CARTÃO</t>
  </si>
  <si>
    <t>COTA</t>
  </si>
  <si>
    <t>Cartão</t>
  </si>
  <si>
    <t>Vencimento</t>
  </si>
  <si>
    <t>Parcela</t>
  </si>
  <si>
    <t>Descrição</t>
  </si>
  <si>
    <t>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</si>
</sst>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R$&quot;\ * #,##0.00_-;\-&quot;R$&quot;\ * #,##0.00_-;_-&quot;R$&quot;\ * &quot;-&quot;??_-;_-@_-"/>
    <numFmt numFmtId="164" formatCode="_(* #,##0_);_(* \(#,##0\);_(* &quot;-&quot;_);_(@_)"/>
    <numFmt numFmtId="165" formatCode="_(* #,##0.00_);_(* \(#,##0.00\);_(* &quot;-&quot;??_);_(@_)"/>
    <numFmt numFmtId="166" formatCode="&quot;R$&quot;\ #,##0.00"/>
    <numFmt numFmtId="167" formatCode="[$R$-416]\ #,##0.00"/>
  </numFmts>
  <fonts count="60" x14ac:knownFonts="1">
    <font>
      <sz val="11"/>
      <color theme="1" tint="4.9989318521683403E-2"/>
      <name val="Century Gothic"/>
      <family val="1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1"/>
      <color theme="0"/>
      <name val="Century Gothic"/>
      <family val="1"/>
      <scheme val="major"/>
    </font>
    <font>
      <sz val="32"/>
      <color theme="0"/>
      <name val="Century Gothic"/>
      <family val="1"/>
      <scheme val="major"/>
    </font>
    <font>
      <sz val="10"/>
      <color theme="1" tint="4.9989318521683403E-2"/>
      <name val="Century Gothic"/>
      <family val="1"/>
      <scheme val="minor"/>
    </font>
    <font>
      <b/>
      <sz val="11"/>
      <color rgb="FF3F3F3F"/>
      <name val="Century Gothic"/>
      <family val="2"/>
      <scheme val="minor"/>
    </font>
    <font>
      <sz val="12"/>
      <color theme="0"/>
      <name val="Century Gothic"/>
      <family val="2"/>
      <scheme val="minor"/>
    </font>
    <font>
      <b/>
      <sz val="14"/>
      <color theme="8" tint="-0.24994659260841701"/>
      <name val="Century Gothic"/>
      <family val="2"/>
      <scheme val="minor"/>
    </font>
    <font>
      <sz val="11"/>
      <name val="Century Gothic"/>
      <family val="2"/>
      <scheme val="minor"/>
    </font>
    <font>
      <sz val="11"/>
      <color theme="0"/>
      <name val="Century Gothic"/>
      <family val="1"/>
      <scheme val="minor"/>
    </font>
    <font>
      <sz val="11"/>
      <color theme="1"/>
      <name val="Century Gothic"/>
      <family val="1"/>
      <scheme val="minor"/>
    </font>
    <font>
      <b/>
      <sz val="28"/>
      <color theme="0"/>
      <name val="Century Gothic"/>
      <family val="1"/>
      <scheme val="major"/>
    </font>
    <font>
      <b/>
      <sz val="14"/>
      <color theme="7" tint="-0.499984740745262"/>
      <name val="Century Gothic"/>
      <family val="1"/>
      <scheme val="major"/>
    </font>
    <font>
      <sz val="12"/>
      <color theme="1"/>
      <name val="Century Gothic"/>
      <family val="1"/>
      <scheme val="minor"/>
    </font>
    <font>
      <sz val="24"/>
      <color theme="7" tint="-0.499984740745262"/>
      <name val="Century Gothic"/>
      <family val="2"/>
      <scheme val="minor"/>
    </font>
    <font>
      <b/>
      <sz val="40"/>
      <color theme="0"/>
      <name val="Century Gothic"/>
      <family val="1"/>
      <scheme val="minor"/>
    </font>
    <font>
      <sz val="11"/>
      <color theme="1" tint="4.9989318521683403E-2"/>
      <name val="Century Gothic"/>
      <family val="1"/>
      <scheme val="minor"/>
    </font>
    <font>
      <b/>
      <sz val="11"/>
      <color theme="3"/>
      <name val="Century Gothic"/>
      <family val="2"/>
      <scheme val="minor"/>
    </font>
    <font>
      <sz val="11"/>
      <color rgb="FF006100"/>
      <name val="Century Gothic"/>
      <family val="2"/>
      <scheme val="minor"/>
    </font>
    <font>
      <sz val="11"/>
      <color rgb="FF9C0006"/>
      <name val="Century Gothic"/>
      <family val="2"/>
      <scheme val="minor"/>
    </font>
    <font>
      <sz val="11"/>
      <color rgb="FF9C5700"/>
      <name val="Century Gothic"/>
      <family val="2"/>
      <scheme val="minor"/>
    </font>
    <font>
      <b/>
      <sz val="11"/>
      <color rgb="FFFA7D00"/>
      <name val="Century Gothic"/>
      <family val="2"/>
      <scheme val="minor"/>
    </font>
    <font>
      <sz val="11"/>
      <color rgb="FFFA7D00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i/>
      <sz val="11"/>
      <color rgb="FF7F7F7F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u/>
      <sz val="11"/>
      <color theme="1" tint="4.9989318521683403E-2"/>
      <name val="Century Gothic"/>
      <family val="1"/>
      <scheme val="minor"/>
    </font>
    <font>
      <b/>
      <sz val="14"/>
      <color theme="7" tint="-0.499984740745262"/>
      <name val="Century Gothic"/>
      <family val="2"/>
      <scheme val="major"/>
    </font>
    <font>
      <b/>
      <sz val="26"/>
      <color theme="0"/>
      <name val="Century Gothic"/>
      <family val="1"/>
      <scheme val="major"/>
    </font>
    <font>
      <b/>
      <sz val="20"/>
      <color theme="0"/>
      <name val="Century Gothic"/>
      <family val="1"/>
      <scheme val="major"/>
    </font>
    <font>
      <b/>
      <sz val="36"/>
      <color theme="0"/>
      <name val="Century Gothic"/>
      <family val="1"/>
      <scheme val="minor"/>
    </font>
    <font>
      <b/>
      <sz val="11"/>
      <color theme="1"/>
      <name val="Century Gothic"/>
      <family val="1"/>
      <scheme val="minor"/>
    </font>
    <font>
      <sz val="12"/>
      <color rgb="FF000000"/>
      <name val="Century Gothic"/>
      <family val="1"/>
    </font>
    <font>
      <b/>
      <sz val="22"/>
      <color theme="0"/>
      <name val="Century Gothic"/>
      <family val="1"/>
      <scheme val="minor"/>
    </font>
    <font>
      <b/>
      <sz val="14"/>
      <color theme="0"/>
      <name val="Century Gothic"/>
      <family val="1"/>
      <scheme val="minor"/>
    </font>
    <font>
      <b/>
      <sz val="12"/>
      <color theme="0"/>
      <name val="Century Gothic"/>
      <family val="2"/>
      <scheme val="minor"/>
    </font>
    <font>
      <sz val="8"/>
      <name val="Century Gothic"/>
      <family val="1"/>
      <scheme val="minor"/>
    </font>
    <font>
      <b/>
      <sz val="24"/>
      <color rgb="FFF38BA0"/>
      <name val="Century Gothic"/>
      <family val="1"/>
      <scheme val="major"/>
    </font>
    <font>
      <sz val="11"/>
      <color rgb="FFF38BA0"/>
      <name val="Century Gothic"/>
      <family val="1"/>
      <scheme val="minor"/>
    </font>
    <font>
      <u/>
      <sz val="11"/>
      <color rgb="FFF38BA0"/>
      <name val="Century Gothic"/>
      <family val="1"/>
      <scheme val="minor"/>
    </font>
    <font>
      <sz val="12"/>
      <name val="Century Gothic"/>
      <family val="1"/>
      <scheme val="minor"/>
    </font>
    <font>
      <b/>
      <sz val="12"/>
      <color rgb="FF000000"/>
      <name val="Century Gothic"/>
      <family val="2"/>
    </font>
    <font>
      <b/>
      <sz val="12"/>
      <name val="Century Gothic"/>
      <family val="2"/>
    </font>
    <font>
      <sz val="11"/>
      <color theme="1" tint="4.9989318521683403E-2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12"/>
      <name val="Century Gothic"/>
      <family val="2"/>
    </font>
    <font>
      <sz val="12"/>
      <name val="Century Gothic"/>
      <family val="2"/>
      <scheme val="minor"/>
    </font>
    <font>
      <b/>
      <sz val="20"/>
      <name val="Century Gothic"/>
      <family val="2"/>
      <scheme val="major"/>
    </font>
    <font>
      <sz val="12"/>
      <name val="Century Gothic"/>
    </font>
    <font>
      <b/>
      <sz val="18"/>
      <color rgb="FFFF0000"/>
      <name val="Century Gothic"/>
      <family val="1"/>
      <scheme val="major"/>
    </font>
    <font>
      <b/>
      <sz val="12"/>
      <color theme="1"/>
      <name val="Century Gothic"/>
      <family val="2"/>
      <scheme val="minor"/>
    </font>
    <font>
      <b/>
      <sz val="12"/>
      <color theme="1"/>
      <name val="Century Gothic"/>
      <family val="1"/>
      <scheme val="minor"/>
    </font>
    <font>
      <b/>
      <sz val="12"/>
      <name val="Century Gothic"/>
      <family val="2"/>
      <scheme val="minor"/>
    </font>
    <font>
      <b/>
      <sz val="11"/>
      <color theme="1" tint="4.9989318521683403E-2"/>
      <name val="Century Gothic"/>
      <family val="2"/>
      <scheme val="minor"/>
    </font>
    <font>
      <b/>
      <sz val="18"/>
      <color rgb="FFF38BA0"/>
      <name val="Century Gothic"/>
      <family val="2"/>
      <scheme val="major"/>
    </font>
    <font>
      <sz val="12"/>
      <name val="Century Gothic"/>
      <scheme val="minor"/>
    </font>
    <font>
      <b/>
      <sz val="11"/>
      <color theme="1" tint="4.9989318521683403E-2"/>
      <name val="Century Gothic"/>
      <family val="1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3" tint="-0.24994659260841701"/>
        <bgColor indexed="64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38BA0"/>
        <bgColor indexed="64"/>
      </patternFill>
    </fill>
    <fill>
      <patternFill patternType="solid">
        <fgColor rgb="FFEDF6E5"/>
        <bgColor indexed="64"/>
      </patternFill>
    </fill>
    <fill>
      <patternFill patternType="solid">
        <fgColor rgb="FFB5EAEA"/>
        <bgColor indexed="64"/>
      </patternFill>
    </fill>
    <fill>
      <patternFill patternType="solid">
        <fgColor rgb="FFFFBCB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theme="3" tint="0.39994506668294322"/>
      </top>
      <bottom style="medium">
        <color theme="3" tint="0.39994506668294322"/>
      </bottom>
      <diagonal/>
    </border>
    <border>
      <left/>
      <right/>
      <top style="medium">
        <color theme="0"/>
      </top>
      <bottom/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medium">
        <color theme="7"/>
      </top>
      <bottom style="medium">
        <color theme="7"/>
      </bottom>
      <diagonal/>
    </border>
    <border>
      <left/>
      <right/>
      <top/>
      <bottom style="medium">
        <color theme="7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5"/>
      </left>
      <right/>
      <top style="medium">
        <color theme="7"/>
      </top>
      <bottom style="medium">
        <color theme="7"/>
      </bottom>
      <diagonal/>
    </border>
    <border>
      <left/>
      <right/>
      <top/>
      <bottom style="thick">
        <color rgb="FFFFFFFF"/>
      </bottom>
      <diagonal/>
    </border>
    <border>
      <left/>
      <right/>
      <top style="thick">
        <color theme="0"/>
      </top>
      <bottom style="thick">
        <color rgb="FFFFFFFF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ck">
        <color theme="0"/>
      </bottom>
      <diagonal/>
    </border>
    <border>
      <left/>
      <right/>
      <top style="medium">
        <color indexed="64"/>
      </top>
      <bottom style="thick">
        <color theme="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ck">
        <color theme="0"/>
      </top>
      <bottom style="thick">
        <color rgb="FFFFFFFF"/>
      </bottom>
      <diagonal/>
    </border>
    <border>
      <left/>
      <right style="medium">
        <color indexed="64"/>
      </right>
      <top style="thick">
        <color theme="0"/>
      </top>
      <bottom style="thick">
        <color rgb="FFFFFFFF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F38BA0"/>
      </top>
      <bottom/>
      <diagonal/>
    </border>
    <border>
      <left style="thin">
        <color rgb="FFF38BA0"/>
      </left>
      <right/>
      <top/>
      <bottom/>
      <diagonal/>
    </border>
    <border>
      <left/>
      <right style="thin">
        <color rgb="FFF38BA0"/>
      </right>
      <top/>
      <bottom/>
      <diagonal/>
    </border>
    <border>
      <left/>
      <right/>
      <top/>
      <bottom style="thin">
        <color rgb="FFF38BA0"/>
      </bottom>
      <diagonal/>
    </border>
    <border>
      <left/>
      <right style="thin">
        <color rgb="FFF38BA0"/>
      </right>
      <top style="thin">
        <color rgb="FFF38BA0"/>
      </top>
      <bottom/>
      <diagonal/>
    </border>
    <border>
      <left/>
      <right style="thin">
        <color rgb="FFF38BA0"/>
      </right>
      <top/>
      <bottom style="thin">
        <color rgb="FFF38BA0"/>
      </bottom>
      <diagonal/>
    </border>
  </borders>
  <cellStyleXfs count="49">
    <xf numFmtId="0" fontId="0" fillId="0" borderId="0">
      <alignment horizontal="left" vertical="center" wrapText="1" indent="1"/>
    </xf>
    <xf numFmtId="9" fontId="8" fillId="0" borderId="5" applyFill="0" applyProtection="0">
      <alignment horizontal="center" vertical="center"/>
    </xf>
    <xf numFmtId="0" fontId="4" fillId="4" borderId="3" applyNumberFormat="0" applyProtection="0">
      <alignment horizontal="left" vertical="center" indent="3"/>
    </xf>
    <xf numFmtId="0" fontId="3" fillId="2" borderId="2" applyNumberFormat="0" applyProtection="0">
      <alignment horizontal="center" vertical="center"/>
    </xf>
    <xf numFmtId="0" fontId="3" fillId="5" borderId="4" applyNumberFormat="0" applyProtection="0">
      <alignment horizontal="center" vertical="center"/>
    </xf>
    <xf numFmtId="0" fontId="3" fillId="5" borderId="0" applyNumberFormat="0" applyBorder="0" applyProtection="0">
      <alignment horizontal="left" vertical="center" indent="1"/>
    </xf>
    <xf numFmtId="166" fontId="5" fillId="0" borderId="0" applyFont="0" applyFill="0" applyBorder="0" applyProtection="0">
      <alignment horizontal="right" vertical="center" indent="1"/>
    </xf>
    <xf numFmtId="166" fontId="5" fillId="0" borderId="0" applyFont="0" applyFill="0" applyBorder="0" applyProtection="0">
      <alignment horizontal="right" vertical="center"/>
    </xf>
    <xf numFmtId="0" fontId="9" fillId="0" borderId="1" applyNumberFormat="0" applyFont="0" applyAlignment="0" applyProtection="0"/>
    <xf numFmtId="0" fontId="6" fillId="3" borderId="6" applyNumberFormat="0" applyFont="0" applyFill="0" applyAlignment="0" applyProtection="0"/>
    <xf numFmtId="0" fontId="7" fillId="4" borderId="0" applyNumberFormat="0" applyBorder="0" applyProtection="0">
      <alignment horizontal="right" vertical="top" indent="10"/>
    </xf>
    <xf numFmtId="0" fontId="10" fillId="0" borderId="0" applyNumberFormat="0" applyFill="0" applyBorder="0" applyAlignment="0">
      <alignment horizontal="left" vertical="center" wrapText="1" indent="1"/>
    </xf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3" borderId="11" applyNumberFormat="0" applyAlignment="0" applyProtection="0"/>
    <xf numFmtId="0" fontId="23" fillId="0" borderId="12" applyNumberFormat="0" applyFill="0" applyAlignment="0" applyProtection="0"/>
    <xf numFmtId="0" fontId="24" fillId="10" borderId="13" applyNumberFormat="0" applyAlignment="0" applyProtection="0"/>
    <xf numFmtId="0" fontId="25" fillId="0" borderId="0" applyNumberFormat="0" applyFill="0" applyBorder="0" applyAlignment="0" applyProtection="0"/>
    <xf numFmtId="0" fontId="17" fillId="11" borderId="14" applyNumberFormat="0" applyFont="0" applyAlignment="0" applyProtection="0"/>
    <xf numFmtId="0" fontId="26" fillId="0" borderId="0" applyNumberFormat="0" applyFill="0" applyBorder="0" applyAlignment="0" applyProtection="0"/>
    <xf numFmtId="0" fontId="27" fillId="0" borderId="15" applyNumberFormat="0" applyFill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1" fillId="0" borderId="0"/>
  </cellStyleXfs>
  <cellXfs count="126">
    <xf numFmtId="0" fontId="0" fillId="0" borderId="0" xfId="0">
      <alignment horizontal="left" vertical="center" wrapText="1" inden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9"/>
    </xf>
    <xf numFmtId="0" fontId="11" fillId="0" borderId="0" xfId="11" applyFont="1">
      <alignment horizontal="left" vertical="center" wrapText="1" indent="1"/>
    </xf>
    <xf numFmtId="0" fontId="0" fillId="0" borderId="8" xfId="0" applyBorder="1" applyAlignment="1">
      <alignment horizontal="left" vertical="center" indent="1"/>
    </xf>
    <xf numFmtId="0" fontId="3" fillId="0" borderId="0" xfId="4" applyFill="1" applyBorder="1">
      <alignment horizontal="center" vertical="center"/>
    </xf>
    <xf numFmtId="0" fontId="0" fillId="0" borderId="0" xfId="0" applyAlignment="1">
      <alignment horizontal="right" vertical="center" wrapText="1" indent="1"/>
    </xf>
    <xf numFmtId="0" fontId="3" fillId="0" borderId="0" xfId="4" applyFill="1" applyBorder="1" applyAlignment="1">
      <alignment horizontal="right" vertical="center" indent="1"/>
    </xf>
    <xf numFmtId="0" fontId="0" fillId="0" borderId="0" xfId="0" applyAlignment="1">
      <alignment horizontal="right" vertical="center" indent="1"/>
    </xf>
    <xf numFmtId="9" fontId="15" fillId="0" borderId="7" xfId="1" applyFont="1" applyFill="1" applyBorder="1" applyAlignment="1">
      <alignment horizontal="right" vertical="center" indent="1"/>
    </xf>
    <xf numFmtId="0" fontId="14" fillId="0" borderId="0" xfId="0" applyFont="1">
      <alignment horizontal="left" vertical="center" wrapText="1" indent="1"/>
    </xf>
    <xf numFmtId="166" fontId="0" fillId="0" borderId="8" xfId="6" applyFont="1" applyBorder="1">
      <alignment horizontal="right" vertical="center" indent="1"/>
    </xf>
    <xf numFmtId="166" fontId="13" fillId="6" borderId="4" xfId="6" applyFont="1" applyFill="1" applyBorder="1">
      <alignment horizontal="right" vertical="center" indent="1"/>
    </xf>
    <xf numFmtId="166" fontId="14" fillId="0" borderId="0" xfId="6" applyFont="1" applyFill="1" applyBorder="1">
      <alignment horizontal="right" vertical="center" indent="1"/>
    </xf>
    <xf numFmtId="0" fontId="29" fillId="0" borderId="0" xfId="0" applyFont="1">
      <alignment horizontal="left" vertical="center" wrapText="1" indent="1"/>
    </xf>
    <xf numFmtId="0" fontId="29" fillId="0" borderId="0" xfId="0" applyFont="1" applyAlignment="1">
      <alignment horizontal="left" vertical="center" indent="19"/>
    </xf>
    <xf numFmtId="0" fontId="17" fillId="0" borderId="8" xfId="8" applyFont="1" applyBorder="1" applyAlignment="1">
      <alignment horizontal="left" vertical="center" indent="1"/>
    </xf>
    <xf numFmtId="166" fontId="17" fillId="0" borderId="8" xfId="6" applyFont="1" applyBorder="1">
      <alignment horizontal="right" vertical="center" indent="1"/>
    </xf>
    <xf numFmtId="0" fontId="0" fillId="0" borderId="0" xfId="0" applyAlignment="1">
      <alignment horizontal="center" vertical="center" wrapText="1"/>
    </xf>
    <xf numFmtId="166" fontId="14" fillId="0" borderId="0" xfId="6" applyFont="1" applyBorder="1">
      <alignment horizontal="right" vertical="center" indent="1"/>
    </xf>
    <xf numFmtId="166" fontId="14" fillId="0" borderId="8" xfId="6" applyFont="1" applyBorder="1">
      <alignment horizontal="right" vertical="center" indent="1"/>
    </xf>
    <xf numFmtId="44" fontId="0" fillId="0" borderId="0" xfId="0" applyNumberFormat="1">
      <alignment horizontal="left" vertical="center" wrapText="1" indent="1"/>
    </xf>
    <xf numFmtId="0" fontId="16" fillId="35" borderId="9" xfId="2" applyFont="1" applyFill="1" applyBorder="1" applyAlignment="1">
      <alignment horizontal="left" vertical="center" indent="1"/>
    </xf>
    <xf numFmtId="0" fontId="13" fillId="36" borderId="10" xfId="4" applyFont="1" applyFill="1" applyBorder="1" applyAlignment="1">
      <alignment horizontal="left" vertical="center" indent="1"/>
    </xf>
    <xf numFmtId="0" fontId="0" fillId="36" borderId="10" xfId="0" applyFill="1" applyBorder="1" applyAlignment="1">
      <alignment horizontal="left" vertical="center" indent="2"/>
    </xf>
    <xf numFmtId="0" fontId="30" fillId="36" borderId="4" xfId="5" applyFont="1" applyFill="1" applyBorder="1">
      <alignment horizontal="left" vertical="center" indent="1"/>
    </xf>
    <xf numFmtId="0" fontId="14" fillId="36" borderId="0" xfId="0" applyFont="1" applyFill="1">
      <alignment horizontal="left" vertical="center" wrapText="1" indent="1"/>
    </xf>
    <xf numFmtId="166" fontId="14" fillId="36" borderId="0" xfId="6" applyFont="1" applyFill="1" applyBorder="1">
      <alignment horizontal="right" vertical="center" indent="1"/>
    </xf>
    <xf numFmtId="0" fontId="14" fillId="38" borderId="0" xfId="0" applyFont="1" applyFill="1" applyAlignment="1">
      <alignment horizontal="left" vertical="center" indent="1"/>
    </xf>
    <xf numFmtId="0" fontId="14" fillId="38" borderId="0" xfId="0" applyFont="1" applyFill="1" applyAlignment="1">
      <alignment horizontal="right" vertical="center" indent="2"/>
    </xf>
    <xf numFmtId="0" fontId="0" fillId="38" borderId="10" xfId="0" applyFill="1" applyBorder="1" applyAlignment="1">
      <alignment horizontal="left" vertical="center" indent="2"/>
    </xf>
    <xf numFmtId="0" fontId="34" fillId="38" borderId="16" xfId="0" applyFont="1" applyFill="1" applyBorder="1" applyAlignment="1">
      <alignment horizontal="left" vertical="center" indent="2"/>
    </xf>
    <xf numFmtId="0" fontId="32" fillId="35" borderId="0" xfId="3" applyFont="1" applyFill="1" applyBorder="1">
      <alignment horizontal="center" vertical="center"/>
    </xf>
    <xf numFmtId="44" fontId="17" fillId="36" borderId="17" xfId="9" applyNumberFormat="1" applyFont="1" applyFill="1" applyBorder="1" applyAlignment="1">
      <alignment vertical="center"/>
    </xf>
    <xf numFmtId="166" fontId="35" fillId="0" borderId="0" xfId="6" applyFont="1" applyFill="1" applyBorder="1" applyAlignment="1">
      <alignment horizontal="center" vertical="center"/>
    </xf>
    <xf numFmtId="0" fontId="14" fillId="38" borderId="18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 indent="1"/>
    </xf>
    <xf numFmtId="0" fontId="0" fillId="0" borderId="0" xfId="0" applyAlignment="1">
      <alignment horizontal="center" vertical="center" wrapText="1" indent="1"/>
    </xf>
    <xf numFmtId="0" fontId="0" fillId="35" borderId="0" xfId="0" applyFill="1">
      <alignment horizontal="left" vertical="center" wrapText="1" indent="1"/>
    </xf>
    <xf numFmtId="166" fontId="14" fillId="36" borderId="0" xfId="6" applyFont="1" applyFill="1">
      <alignment horizontal="right" vertical="center" indent="1"/>
    </xf>
    <xf numFmtId="0" fontId="36" fillId="35" borderId="9" xfId="2" applyFont="1" applyFill="1" applyBorder="1" applyAlignment="1">
      <alignment horizontal="center" vertical="center"/>
    </xf>
    <xf numFmtId="166" fontId="37" fillId="35" borderId="0" xfId="2" applyNumberFormat="1" applyFont="1" applyFill="1" applyBorder="1" applyAlignment="1">
      <alignment vertical="center"/>
    </xf>
    <xf numFmtId="0" fontId="0" fillId="0" borderId="0" xfId="0" applyAlignment="1">
      <alignment horizontal="left" vertical="center" wrapText="1"/>
    </xf>
    <xf numFmtId="166" fontId="0" fillId="0" borderId="0" xfId="0" applyNumberFormat="1">
      <alignment horizontal="left" vertical="center" wrapText="1" indent="1"/>
    </xf>
    <xf numFmtId="166" fontId="38" fillId="38" borderId="20" xfId="6" applyFont="1" applyFill="1" applyBorder="1">
      <alignment horizontal="right" vertical="center" indent="1"/>
    </xf>
    <xf numFmtId="0" fontId="38" fillId="38" borderId="0" xfId="0" applyFont="1" applyFill="1">
      <alignment horizontal="left" vertical="center" wrapText="1" indent="1"/>
    </xf>
    <xf numFmtId="0" fontId="38" fillId="35" borderId="21" xfId="0" applyFont="1" applyFill="1" applyBorder="1" applyAlignment="1">
      <alignment horizontal="center" vertical="center" wrapText="1"/>
    </xf>
    <xf numFmtId="0" fontId="38" fillId="35" borderId="21" xfId="0" applyFont="1" applyFill="1" applyBorder="1">
      <alignment horizontal="left" vertical="center" wrapText="1" indent="1"/>
    </xf>
    <xf numFmtId="0" fontId="35" fillId="0" borderId="0" xfId="0" applyFon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66" fontId="32" fillId="35" borderId="0" xfId="3" applyNumberFormat="1" applyFont="1" applyFill="1" applyBorder="1">
      <alignment horizontal="center" vertical="center"/>
    </xf>
    <xf numFmtId="166" fontId="14" fillId="38" borderId="18" xfId="0" applyNumberFormat="1" applyFont="1" applyFill="1" applyBorder="1" applyAlignment="1">
      <alignment horizontal="center" vertical="center" wrapText="1"/>
    </xf>
    <xf numFmtId="166" fontId="35" fillId="0" borderId="0" xfId="0" applyNumberFormat="1" applyFont="1" applyAlignment="1">
      <alignment horizontal="center" vertical="center" wrapText="1"/>
    </xf>
    <xf numFmtId="49" fontId="14" fillId="38" borderId="0" xfId="0" applyNumberFormat="1" applyFont="1" applyFill="1" applyAlignment="1">
      <alignment horizontal="center" vertical="center" indent="1"/>
    </xf>
    <xf numFmtId="0" fontId="38" fillId="35" borderId="22" xfId="0" applyFont="1" applyFill="1" applyBorder="1" applyAlignment="1">
      <alignment horizontal="center" vertical="center" wrapText="1"/>
    </xf>
    <xf numFmtId="166" fontId="40" fillId="35" borderId="0" xfId="3" applyNumberFormat="1" applyFont="1" applyFill="1" applyBorder="1">
      <alignment horizontal="center" vertical="center"/>
    </xf>
    <xf numFmtId="0" fontId="41" fillId="0" borderId="0" xfId="0" applyFont="1">
      <alignment horizontal="left" vertical="center" wrapText="1" indent="1"/>
    </xf>
    <xf numFmtId="0" fontId="42" fillId="0" borderId="0" xfId="0" applyFont="1">
      <alignment horizontal="left" vertical="center" wrapText="1" indent="1"/>
    </xf>
    <xf numFmtId="0" fontId="0" fillId="0" borderId="0" xfId="0" pivotButton="1">
      <alignment horizontal="left" vertical="center" wrapText="1" indent="1"/>
    </xf>
    <xf numFmtId="49" fontId="44" fillId="0" borderId="0" xfId="0" applyNumberFormat="1" applyFont="1" applyAlignment="1">
      <alignment horizontal="center" vertical="center" wrapText="1" indent="1"/>
    </xf>
    <xf numFmtId="49" fontId="45" fillId="0" borderId="0" xfId="0" applyNumberFormat="1" applyFont="1" applyAlignment="1">
      <alignment horizontal="center" vertical="center" wrapText="1" indent="1"/>
    </xf>
    <xf numFmtId="49" fontId="46" fillId="0" borderId="0" xfId="0" applyNumberFormat="1" applyFont="1" applyAlignment="1">
      <alignment horizontal="center" vertical="center" wrapText="1" indent="1"/>
    </xf>
    <xf numFmtId="49" fontId="47" fillId="38" borderId="19" xfId="0" applyNumberFormat="1" applyFont="1" applyFill="1" applyBorder="1" applyAlignment="1">
      <alignment horizontal="center" vertical="center" indent="1"/>
    </xf>
    <xf numFmtId="49" fontId="49" fillId="0" borderId="0" xfId="6" applyNumberFormat="1" applyFont="1" applyFill="1" applyAlignment="1">
      <alignment horizontal="center" vertical="center"/>
    </xf>
    <xf numFmtId="0" fontId="48" fillId="0" borderId="0" xfId="0" applyFont="1" applyAlignment="1">
      <alignment horizontal="center" vertical="center" wrapText="1"/>
    </xf>
    <xf numFmtId="166" fontId="48" fillId="0" borderId="0" xfId="6" applyFont="1" applyFill="1" applyBorder="1" applyAlignment="1">
      <alignment horizontal="center" vertical="center"/>
    </xf>
    <xf numFmtId="166" fontId="48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 wrapText="1"/>
    </xf>
    <xf numFmtId="166" fontId="50" fillId="35" borderId="0" xfId="3" applyNumberFormat="1" applyFont="1" applyFill="1" applyBorder="1">
      <alignment horizontal="center" vertical="center"/>
    </xf>
    <xf numFmtId="166" fontId="49" fillId="38" borderId="18" xfId="0" applyNumberFormat="1" applyFont="1" applyFill="1" applyBorder="1" applyAlignment="1">
      <alignment horizontal="center" vertical="center" wrapText="1"/>
    </xf>
    <xf numFmtId="166" fontId="51" fillId="0" borderId="0" xfId="0" applyNumberFormat="1" applyFont="1" applyAlignment="1">
      <alignment horizontal="center" vertical="center" wrapText="1"/>
    </xf>
    <xf numFmtId="166" fontId="52" fillId="35" borderId="0" xfId="3" applyNumberFormat="1" applyFont="1" applyFill="1" applyBorder="1">
      <alignment horizontal="center" vertical="center"/>
    </xf>
    <xf numFmtId="2" fontId="0" fillId="0" borderId="0" xfId="0" applyNumberFormat="1" applyAlignment="1">
      <alignment horizontal="center" vertical="center" wrapText="1" indent="1"/>
    </xf>
    <xf numFmtId="49" fontId="35" fillId="0" borderId="0" xfId="0" applyNumberFormat="1" applyFont="1" applyAlignment="1">
      <alignment horizontal="center" vertical="center" wrapText="1" indent="1"/>
    </xf>
    <xf numFmtId="49" fontId="54" fillId="38" borderId="16" xfId="0" applyNumberFormat="1" applyFont="1" applyFill="1" applyBorder="1" applyAlignment="1">
      <alignment horizontal="center" vertical="center" indent="1"/>
    </xf>
    <xf numFmtId="49" fontId="54" fillId="38" borderId="16" xfId="0" applyNumberFormat="1" applyFont="1" applyFill="1" applyBorder="1" applyAlignment="1">
      <alignment horizontal="center" vertical="center"/>
    </xf>
    <xf numFmtId="0" fontId="54" fillId="38" borderId="19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49" fontId="53" fillId="38" borderId="26" xfId="0" applyNumberFormat="1" applyFont="1" applyFill="1" applyBorder="1" applyAlignment="1">
      <alignment horizontal="center" vertical="center" indent="1"/>
    </xf>
    <xf numFmtId="166" fontId="55" fillId="38" borderId="27" xfId="0" applyNumberFormat="1" applyFont="1" applyFill="1" applyBorder="1" applyAlignment="1">
      <alignment horizontal="center" vertical="center" wrapText="1"/>
    </xf>
    <xf numFmtId="49" fontId="44" fillId="0" borderId="28" xfId="0" applyNumberFormat="1" applyFont="1" applyBorder="1" applyAlignment="1">
      <alignment horizontal="center" vertical="center" wrapText="1" indent="1"/>
    </xf>
    <xf numFmtId="49" fontId="43" fillId="0" borderId="0" xfId="6" applyNumberFormat="1" applyFont="1" applyBorder="1" applyAlignment="1">
      <alignment horizontal="center" vertical="center"/>
    </xf>
    <xf numFmtId="166" fontId="48" fillId="0" borderId="29" xfId="0" applyNumberFormat="1" applyFont="1" applyBorder="1" applyAlignment="1">
      <alignment horizontal="center" vertical="center" wrapText="1"/>
    </xf>
    <xf numFmtId="49" fontId="44" fillId="0" borderId="30" xfId="0" applyNumberFormat="1" applyFont="1" applyBorder="1" applyAlignment="1">
      <alignment horizontal="center" vertical="center" wrapText="1" indent="1"/>
    </xf>
    <xf numFmtId="49" fontId="35" fillId="0" borderId="31" xfId="0" applyNumberFormat="1" applyFont="1" applyBorder="1" applyAlignment="1">
      <alignment horizontal="center" vertical="center" wrapText="1" indent="1"/>
    </xf>
    <xf numFmtId="49" fontId="43" fillId="0" borderId="31" xfId="6" applyNumberFormat="1" applyFont="1" applyBorder="1" applyAlignment="1">
      <alignment horizontal="center" vertical="center"/>
    </xf>
    <xf numFmtId="0" fontId="35" fillId="0" borderId="31" xfId="0" applyFont="1" applyBorder="1" applyAlignment="1">
      <alignment horizontal="center" vertical="center" wrapText="1"/>
    </xf>
    <xf numFmtId="166" fontId="48" fillId="0" borderId="32" xfId="0" applyNumberFormat="1" applyFont="1" applyBorder="1" applyAlignment="1">
      <alignment horizontal="center" vertical="center" wrapText="1"/>
    </xf>
    <xf numFmtId="166" fontId="56" fillId="39" borderId="25" xfId="0" applyNumberFormat="1" applyFont="1" applyFill="1" applyBorder="1">
      <alignment horizontal="left" vertical="center" wrapText="1" indent="1"/>
    </xf>
    <xf numFmtId="49" fontId="9" fillId="0" borderId="0" xfId="0" applyNumberFormat="1" applyFont="1" applyAlignment="1">
      <alignment horizontal="center" vertical="center" wrapText="1"/>
    </xf>
    <xf numFmtId="49" fontId="50" fillId="35" borderId="0" xfId="3" applyNumberFormat="1" applyFont="1" applyFill="1" applyBorder="1">
      <alignment horizontal="center" vertical="center"/>
    </xf>
    <xf numFmtId="49" fontId="49" fillId="38" borderId="0" xfId="0" applyNumberFormat="1" applyFont="1" applyFill="1" applyAlignment="1">
      <alignment horizontal="center" vertical="center"/>
    </xf>
    <xf numFmtId="49" fontId="49" fillId="0" borderId="0" xfId="6" applyNumberFormat="1" applyFont="1" applyFill="1" applyBorder="1" applyAlignment="1">
      <alignment horizontal="center" vertical="center"/>
    </xf>
    <xf numFmtId="0" fontId="10" fillId="35" borderId="0" xfId="0" applyFont="1" applyFill="1">
      <alignment horizontal="left" vertical="center" wrapText="1" indent="1"/>
    </xf>
    <xf numFmtId="0" fontId="10" fillId="35" borderId="0" xfId="0" applyFont="1" applyFill="1" applyAlignment="1">
      <alignment horizontal="left" vertical="center" wrapText="1"/>
    </xf>
    <xf numFmtId="166" fontId="10" fillId="35" borderId="0" xfId="0" applyNumberFormat="1" applyFont="1" applyFill="1">
      <alignment horizontal="left" vertical="center" wrapText="1" indent="1"/>
    </xf>
    <xf numFmtId="167" fontId="0" fillId="0" borderId="0" xfId="0" applyNumberFormat="1">
      <alignment horizontal="left" vertical="center" wrapText="1" indent="1"/>
    </xf>
    <xf numFmtId="0" fontId="0" fillId="0" borderId="33" xfId="0" applyBorder="1">
      <alignment horizontal="left" vertical="center" wrapText="1" indent="1"/>
    </xf>
    <xf numFmtId="167" fontId="0" fillId="0" borderId="34" xfId="0" applyNumberFormat="1" applyBorder="1">
      <alignment horizontal="left" vertical="center" wrapText="1" indent="1"/>
    </xf>
    <xf numFmtId="0" fontId="0" fillId="0" borderId="35" xfId="0" applyBorder="1">
      <alignment horizontal="left" vertical="center" wrapText="1" indent="1"/>
    </xf>
    <xf numFmtId="167" fontId="0" fillId="0" borderId="36" xfId="0" applyNumberFormat="1" applyBorder="1">
      <alignment horizontal="left" vertical="center" wrapText="1" indent="1"/>
    </xf>
    <xf numFmtId="0" fontId="0" fillId="0" borderId="37" xfId="0" applyBorder="1">
      <alignment horizontal="left" vertical="center" wrapText="1" indent="1"/>
    </xf>
    <xf numFmtId="167" fontId="0" fillId="0" borderId="38" xfId="0" applyNumberFormat="1" applyBorder="1">
      <alignment horizontal="left" vertical="center" wrapText="1" indent="1"/>
    </xf>
    <xf numFmtId="0" fontId="38" fillId="38" borderId="39" xfId="0" applyFont="1" applyFill="1" applyBorder="1">
      <alignment horizontal="left" vertical="center" wrapText="1" indent="1"/>
    </xf>
    <xf numFmtId="166" fontId="38" fillId="38" borderId="40" xfId="6" applyFont="1" applyFill="1" applyBorder="1">
      <alignment horizontal="right" vertical="center" indent="1"/>
    </xf>
    <xf numFmtId="0" fontId="0" fillId="0" borderId="41" xfId="0" applyBorder="1">
      <alignment horizontal="left" vertical="center" wrapText="1" indent="1"/>
    </xf>
    <xf numFmtId="0" fontId="14" fillId="40" borderId="42" xfId="0" applyFont="1" applyFill="1" applyBorder="1">
      <alignment horizontal="left" vertical="center" wrapText="1" indent="1"/>
    </xf>
    <xf numFmtId="0" fontId="14" fillId="40" borderId="0" xfId="0" applyFont="1" applyFill="1">
      <alignment horizontal="left" vertical="center" wrapText="1" indent="1"/>
    </xf>
    <xf numFmtId="0" fontId="14" fillId="40" borderId="44" xfId="0" applyFont="1" applyFill="1" applyBorder="1">
      <alignment horizontal="left" vertical="center" wrapText="1" indent="1"/>
    </xf>
    <xf numFmtId="0" fontId="0" fillId="0" borderId="43" xfId="0" applyBorder="1">
      <alignment horizontal="left" vertical="center" wrapText="1" indent="1"/>
    </xf>
    <xf numFmtId="0" fontId="14" fillId="38" borderId="44" xfId="0" applyFont="1" applyFill="1" applyBorder="1" applyAlignment="1">
      <alignment horizontal="left" vertical="center" indent="1"/>
    </xf>
    <xf numFmtId="166" fontId="14" fillId="40" borderId="45" xfId="6" applyFont="1" applyFill="1" applyBorder="1">
      <alignment horizontal="right" vertical="center" indent="1"/>
    </xf>
    <xf numFmtId="166" fontId="14" fillId="40" borderId="43" xfId="6" applyFont="1" applyFill="1" applyBorder="1">
      <alignment horizontal="right" vertical="center" indent="1"/>
    </xf>
    <xf numFmtId="166" fontId="14" fillId="40" borderId="46" xfId="6" applyFont="1" applyFill="1" applyBorder="1">
      <alignment horizontal="right" vertical="center" indent="1"/>
    </xf>
    <xf numFmtId="166" fontId="57" fillId="35" borderId="0" xfId="3" applyNumberFormat="1" applyFont="1" applyFill="1" applyBorder="1">
      <alignment horizontal="center" vertical="center"/>
    </xf>
    <xf numFmtId="49" fontId="58" fillId="0" borderId="0" xfId="6" applyNumberFormat="1" applyFont="1" applyFill="1" applyAlignment="1">
      <alignment horizontal="center" vertical="center"/>
    </xf>
    <xf numFmtId="49" fontId="43" fillId="0" borderId="0" xfId="6" applyNumberFormat="1" applyFont="1" applyFill="1" applyAlignment="1">
      <alignment horizontal="center" vertical="center"/>
    </xf>
    <xf numFmtId="0" fontId="59" fillId="0" borderId="0" xfId="0" applyFont="1">
      <alignment horizontal="left" vertical="center" wrapText="1" indent="1"/>
    </xf>
    <xf numFmtId="0" fontId="31" fillId="35" borderId="0" xfId="3" applyFont="1" applyFill="1" applyBorder="1">
      <alignment horizontal="center" vertical="center"/>
    </xf>
    <xf numFmtId="0" fontId="13" fillId="37" borderId="2" xfId="4" applyFont="1" applyFill="1" applyBorder="1">
      <alignment horizontal="center" vertical="center"/>
    </xf>
    <xf numFmtId="0" fontId="33" fillId="35" borderId="9" xfId="2" applyFont="1" applyFill="1" applyBorder="1" applyAlignment="1">
      <alignment horizontal="center" vertical="center"/>
    </xf>
    <xf numFmtId="0" fontId="12" fillId="35" borderId="2" xfId="3" applyFont="1" applyFill="1">
      <alignment horizontal="center" vertical="center"/>
    </xf>
    <xf numFmtId="0" fontId="12" fillId="35" borderId="33" xfId="3" applyFont="1" applyFill="1" applyBorder="1">
      <alignment horizontal="center" vertical="center"/>
    </xf>
    <xf numFmtId="0" fontId="12" fillId="35" borderId="34" xfId="3" applyFont="1" applyFill="1" applyBorder="1">
      <alignment horizontal="center" vertical="center"/>
    </xf>
    <xf numFmtId="0" fontId="56" fillId="39" borderId="23" xfId="0" applyFont="1" applyFill="1" applyBorder="1" applyAlignment="1">
      <alignment horizontal="center" vertical="center" wrapText="1"/>
    </xf>
    <xf numFmtId="0" fontId="56" fillId="39" borderId="24" xfId="0" applyFont="1" applyFill="1" applyBorder="1" applyAlignment="1">
      <alignment horizontal="center" vertical="center" wrapText="1"/>
    </xf>
  </cellXfs>
  <cellStyles count="49">
    <cellStyle name="20% - Ênfase1" xfId="25" builtinId="30" customBuiltin="1"/>
    <cellStyle name="20% - Ênfase2" xfId="29" builtinId="34" customBuiltin="1"/>
    <cellStyle name="20% - Ênfase3" xfId="33" builtinId="38" customBuiltin="1"/>
    <cellStyle name="20% - Ênfase4" xfId="37" builtinId="42" customBuiltin="1"/>
    <cellStyle name="20% - Ênfase5" xfId="41" builtinId="46" customBuiltin="1"/>
    <cellStyle name="20% - Ênfase6" xfId="45" builtinId="50" customBuiltin="1"/>
    <cellStyle name="40% - Ênfase1" xfId="26" builtinId="31" customBuiltin="1"/>
    <cellStyle name="40% - Ênfase2" xfId="30" builtinId="35" customBuiltin="1"/>
    <cellStyle name="40% - Ênfase3" xfId="34" builtinId="39" customBuiltin="1"/>
    <cellStyle name="40% - Ênfase4" xfId="38" builtinId="43" customBuiltin="1"/>
    <cellStyle name="40% - Ênfase5" xfId="42" builtinId="47" customBuiltin="1"/>
    <cellStyle name="40% - Ênfase6" xfId="46" builtinId="51" customBuiltin="1"/>
    <cellStyle name="60% - Ênfase1" xfId="27" builtinId="32" customBuiltin="1"/>
    <cellStyle name="60% - Ênfase2" xfId="31" builtinId="36" customBuiltin="1"/>
    <cellStyle name="60% - Ênfase3" xfId="35" builtinId="40" customBuiltin="1"/>
    <cellStyle name="60% - Ênfase4" xfId="39" builtinId="44" customBuiltin="1"/>
    <cellStyle name="60% - Ênfase5" xfId="43" builtinId="48" customBuiltin="1"/>
    <cellStyle name="60% - Ênfase6" xfId="47" builtinId="52" customBuiltin="1"/>
    <cellStyle name="Ano" xfId="11" xr:uid="{00000000-0005-0000-0000-00000B000000}"/>
    <cellStyle name="Bom" xfId="15" builtinId="26" customBuiltin="1"/>
    <cellStyle name="Cálculo" xfId="18" builtinId="22" customBuiltin="1"/>
    <cellStyle name="Célula de Verificação" xfId="20" builtinId="23" customBuiltin="1"/>
    <cellStyle name="Célula Vinculada" xfId="19" builtinId="24" customBuiltin="1"/>
    <cellStyle name="Ênfase1" xfId="10" builtinId="29" customBuiltin="1"/>
    <cellStyle name="Ênfase2" xfId="28" builtinId="33" customBuiltin="1"/>
    <cellStyle name="Ênfase3" xfId="32" builtinId="37" customBuiltin="1"/>
    <cellStyle name="Ênfase4" xfId="36" builtinId="41" customBuiltin="1"/>
    <cellStyle name="Ênfase5" xfId="40" builtinId="45" customBuiltin="1"/>
    <cellStyle name="Ênfase6" xfId="44" builtinId="49" customBuiltin="1"/>
    <cellStyle name="Entrada" xfId="8" builtinId="20" customBuiltin="1"/>
    <cellStyle name="Moeda" xfId="6" builtinId="4" customBuiltin="1"/>
    <cellStyle name="Moeda [0]" xfId="7" builtinId="7" customBuiltin="1"/>
    <cellStyle name="Neutro" xfId="17" builtinId="28" customBuiltin="1"/>
    <cellStyle name="Normal" xfId="0" builtinId="0" customBuiltin="1"/>
    <cellStyle name="Normal 2" xfId="48" xr:uid="{5A77EEC4-9C58-494B-B288-2B9DE56680D4}"/>
    <cellStyle name="Nota" xfId="22" builtinId="10" customBuiltin="1"/>
    <cellStyle name="Porcentagem" xfId="1" builtinId="5" customBuiltin="1"/>
    <cellStyle name="Ruim" xfId="16" builtinId="27" customBuiltin="1"/>
    <cellStyle name="Saída" xfId="9" builtinId="21" customBuiltin="1"/>
    <cellStyle name="Separador de milhares [0]" xfId="13" builtinId="6" customBuiltin="1"/>
    <cellStyle name="Texto de Aviso" xfId="21" builtinId="11" customBuiltin="1"/>
    <cellStyle name="Texto Explicativo" xfId="23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14" builtinId="19" customBuiltin="1"/>
    <cellStyle name="Total" xfId="24" builtinId="25" customBuiltin="1"/>
    <cellStyle name="Vírgula" xfId="12" builtinId="3" customBuiltin="1"/>
  </cellStyles>
  <dxfs count="43">
    <dxf>
      <font>
        <color theme="0"/>
      </font>
    </dxf>
    <dxf>
      <font>
        <color rgb="FF9C0006"/>
      </font>
      <fill>
        <patternFill>
          <bgColor rgb="FFEDF6E5"/>
        </patternFill>
      </fill>
    </dxf>
    <dxf>
      <font>
        <b/>
        <i val="0"/>
        <color rgb="FF9C0006"/>
      </font>
      <fill>
        <patternFill>
          <bgColor rgb="FFEDF6E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family val="2"/>
        <scheme val="minor"/>
      </font>
      <fill>
        <patternFill patternType="solid">
          <fgColor indexed="64"/>
          <bgColor rgb="FFF38BA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rgb="FFF38BA0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  <fill>
        <patternFill patternType="solid">
          <fgColor indexed="64"/>
          <bgColor theme="0"/>
        </patternFill>
      </fill>
    </dxf>
    <dxf>
      <border>
        <bottom style="thick">
          <color theme="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  <fill>
        <patternFill patternType="solid">
          <fgColor indexed="64"/>
          <bgColor rgb="FFFFBCBC"/>
        </patternFill>
      </fill>
    </dxf>
    <dxf>
      <numFmt numFmtId="166" formatCode="&quot;R$&quot;\ #,##0.0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</dxf>
    <dxf>
      <fill>
        <patternFill patternType="solid">
          <fgColor indexed="64"/>
          <bgColor rgb="FFFFBCBC"/>
        </patternFill>
      </fill>
      <alignment horizontal="left" vertical="center" textRotation="0" wrapText="0" indent="2" justifyLastLine="0" shrinkToFit="0" readingOrder="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38BA0"/>
        </patternFill>
      </fill>
    </dxf>
    <dxf>
      <fill>
        <patternFill patternType="solid">
          <bgColor rgb="FFF38BA0"/>
        </patternFill>
      </fill>
    </dxf>
    <dxf>
      <fill>
        <patternFill patternType="solid">
          <bgColor rgb="FFF38BA0"/>
        </patternFill>
      </fill>
    </dxf>
    <dxf>
      <fill>
        <patternFill patternType="solid">
          <bgColor rgb="FFF38BA0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Century Gothic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Century Gothic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Century Gothic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entury Gothic"/>
        <scheme val="none"/>
      </font>
      <numFmt numFmtId="166" formatCode="&quot;R$&quot;\ #,##0.00"/>
      <alignment horizontal="center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Century Gothic"/>
        <family val="1"/>
        <scheme val="none"/>
      </font>
    </dxf>
    <dxf>
      <numFmt numFmtId="166" formatCode="&quot;R$&quot;\ #,##0.0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entury Gothic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Century Gothic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family val="1"/>
        <scheme val="none"/>
      </font>
      <numFmt numFmtId="30" formatCode="@"/>
      <alignment horizontal="center" vertical="center" textRotation="0" wrapText="1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Century Gothic"/>
        <family val="1"/>
        <scheme val="none"/>
      </font>
    </dxf>
    <dxf>
      <font>
        <b/>
        <i val="0"/>
        <strike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Century Gothic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Century Gothic"/>
        <family val="1"/>
        <scheme val="none"/>
      </font>
    </dxf>
    <dxf>
      <border>
        <bottom style="thick">
          <color rgb="FFFFFFFF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  <fill>
        <patternFill patternType="solid">
          <fgColor indexed="64"/>
          <bgColor rgb="FFFFBCBC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1"/>
      </font>
      <fill>
        <patternFill>
          <bgColor theme="5" tint="0.39994506668294322"/>
        </patternFill>
      </fill>
      <border diagonalUp="0" diagonalDown="0">
        <left/>
        <right/>
        <top style="thick">
          <color theme="0"/>
        </top>
        <bottom style="thick">
          <color theme="0"/>
        </bottom>
        <vertical/>
        <horizontal/>
      </border>
    </dxf>
    <dxf>
      <border>
        <bottom style="medium">
          <color theme="7"/>
        </bottom>
      </border>
    </dxf>
  </dxfs>
  <tableStyles count="1" defaultPivotStyle="PivotStyleMedium13">
    <tableStyle name="Orçamento mensal simples" pivot="0" count="3" xr9:uid="{00000000-0011-0000-FFFF-FFFF00000000}">
      <tableStyleElement type="wholeTable" dxfId="42"/>
      <tableStyleElement type="headerRow" dxfId="41"/>
      <tableStyleElement type="firstRowStripe" dxfId="40"/>
    </tableStyle>
  </tableStyles>
  <colors>
    <mruColors>
      <color rgb="FFF38BA0"/>
      <color rgb="FFB5EAEA"/>
      <color rgb="FFFFBCBC"/>
      <color rgb="FFEDF6E5"/>
      <color rgb="FFFF6161"/>
      <color rgb="FFD385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14" Target="metadata.xml" Type="http://schemas.openxmlformats.org/officeDocument/2006/relationships/sheetMetadata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Gráfico gastos</c:v>
          </c:tx>
          <c:invertIfNegative val="0"/>
          <c:dPt>
            <c:idx val="0"/>
            <c:invertIfNegative val="0"/>
            <c:bubble3D val="0"/>
            <c:spPr>
              <a:solidFill>
                <a:srgbClr val="EDF6E5"/>
              </a:solidFill>
            </c:spPr>
            <c:extLst>
              <c:ext xmlns:c16="http://schemas.microsoft.com/office/drawing/2014/chart" uri="{C3380CC4-5D6E-409C-BE32-E72D297353CC}">
                <c16:uniqueId val="{00000001-F8A6-4F92-B285-2915AE3312E0}"/>
              </c:ext>
            </c:extLst>
          </c:dPt>
          <c:dPt>
            <c:idx val="1"/>
            <c:invertIfNegative val="0"/>
            <c:bubble3D val="0"/>
            <c:spPr>
              <a:solidFill>
                <a:srgbClr val="B5EAEA"/>
              </a:solidFill>
            </c:spPr>
            <c:extLst>
              <c:ext xmlns:c16="http://schemas.microsoft.com/office/drawing/2014/chart" uri="{C3380CC4-5D6E-409C-BE32-E72D297353CC}">
                <c16:uniqueId val="{00000003-F8A6-4F92-B285-2915AE3312E0}"/>
              </c:ext>
            </c:extLst>
          </c:dPt>
          <c:dPt>
            <c:idx val="2"/>
            <c:invertIfNegative val="0"/>
            <c:bubble3D val="0"/>
            <c:spPr>
              <a:solidFill>
                <a:srgbClr val="F38BA0"/>
              </a:solidFill>
            </c:spPr>
            <c:extLst>
              <c:ext xmlns:c16="http://schemas.microsoft.com/office/drawing/2014/chart" uri="{C3380CC4-5D6E-409C-BE32-E72D297353CC}">
                <c16:uniqueId val="{00000006-B535-429C-B8D0-4DFD649580DF}"/>
              </c:ext>
            </c:extLst>
          </c:dPt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>
                    <a:solidFill>
                      <a:schemeClr val="tx1">
                        <a:lumMod val="95000"/>
                        <a:lumOff val="5000"/>
                      </a:schemeClr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Resumo!$B$8:$B$10</c:f>
              <c:strCache>
                <c:ptCount val="3"/>
                <c:pt idx="0">
                  <c:v>Renda mensal total</c:v>
                </c:pt>
                <c:pt idx="1">
                  <c:v>Despesas mensais totais</c:v>
                </c:pt>
                <c:pt idx="2">
                  <c:v>Despesas Cartão totais</c:v>
                </c:pt>
              </c:strCache>
            </c:strRef>
          </c:cat>
          <c:val>
            <c:numRef>
              <c:f>Resumo!$C$8:$C$10</c:f>
              <c:numCache>
                <c:formatCode>"R$"\ #,##0.00</c:formatCode>
                <c:ptCount val="3"/>
                <c:pt idx="0">
                  <c:v>27253.980000000003</c:v>
                </c:pt>
                <c:pt idx="1">
                  <c:v>2636.4500000000003</c:v>
                </c:pt>
                <c:pt idx="2">
                  <c:v>18570.300000000007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A6-4F92-B285-2915AE3312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7"/>
        <c:axId val="539195768"/>
        <c:axId val="539196160"/>
      </c:barChart>
      <c:catAx>
        <c:axId val="5391957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chemeClr val="tx1">
                <a:lumMod val="85000"/>
                <a:lumOff val="15000"/>
              </a:schemeClr>
            </a:solidFill>
          </a:ln>
        </c:spPr>
        <c:txPr>
          <a:bodyPr/>
          <a:lstStyle/>
          <a:p>
            <a:pPr>
              <a:defRPr sz="1100">
                <a:solidFill>
                  <a:schemeClr val="tx1">
                    <a:lumMod val="95000"/>
                    <a:lumOff val="5000"/>
                  </a:schemeClr>
                </a:solidFill>
              </a:defRPr>
            </a:pPr>
            <a:endParaRPr lang="pt-BR"/>
          </a:p>
        </c:txPr>
        <c:crossAx val="539196160"/>
        <c:crosses val="autoZero"/>
        <c:auto val="0"/>
        <c:lblAlgn val="ctr"/>
        <c:lblOffset val="80"/>
        <c:noMultiLvlLbl val="0"/>
      </c:catAx>
      <c:valAx>
        <c:axId val="539196160"/>
        <c:scaling>
          <c:orientation val="minMax"/>
          <c:min val="0"/>
        </c:scaling>
        <c:delete val="0"/>
        <c:axPos val="l"/>
        <c:numFmt formatCode="&quot;R$&quot;\ #,##0" sourceLinked="0"/>
        <c:majorTickMark val="in"/>
        <c:minorTickMark val="none"/>
        <c:tickLblPos val="nextTo"/>
        <c:spPr>
          <a:ln>
            <a:solidFill>
              <a:schemeClr val="tx1">
                <a:lumMod val="85000"/>
                <a:lumOff val="15000"/>
              </a:schemeClr>
            </a:solidFill>
          </a:ln>
        </c:spPr>
        <c:txPr>
          <a:bodyPr/>
          <a:lstStyle/>
          <a:p>
            <a:pPr>
              <a:defRPr sz="1100">
                <a:solidFill>
                  <a:schemeClr val="tx1">
                    <a:lumMod val="95000"/>
                    <a:lumOff val="5000"/>
                  </a:schemeClr>
                </a:solidFill>
              </a:defRPr>
            </a:pPr>
            <a:endParaRPr lang="pt-BR"/>
          </a:p>
        </c:txPr>
        <c:crossAx val="539195768"/>
        <c:crosses val="autoZero"/>
        <c:crossBetween val="between"/>
        <c:minorUnit val="500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269874</xdr:colOff>
      <xdr:row>3</xdr:row>
      <xdr:rowOff>12700</xdr:rowOff>
    </xdr:from>
    <xdr:to>
      <xdr:col>5</xdr:col>
      <xdr:colOff>88900</xdr:colOff>
      <xdr:row>20</xdr:row>
      <xdr:rowOff>31754</xdr:rowOff>
    </xdr:to>
    <xdr:graphicFrame macro="">
      <xdr:nvGraphicFramePr>
        <xdr:cNvPr id="5" name="RendaEDespesas" descr="Gráfico de colunas clusterizado mostrando a receita mensal total e as despesas mensais totais">
          <a:extLst>
            <a:ext uri="{FF2B5EF4-FFF2-40B4-BE49-F238E27FC236}">
              <a16:creationId xmlns:a16="http://schemas.microsoft.com/office/drawing/2014/main" id="{BD230B27-FC6F-43EC-92DC-A6663A512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1807027</xdr:colOff>
      <xdr:row>0</xdr:row>
      <xdr:rowOff>0</xdr:rowOff>
    </xdr:from>
    <xdr:to>
      <xdr:col>3</xdr:col>
      <xdr:colOff>3178626</xdr:colOff>
      <xdr:row>3</xdr:row>
      <xdr:rowOff>129266</xdr:rowOff>
    </xdr:to>
    <xdr:sp macro="" textlink="D1">
      <xdr:nvSpPr>
        <xdr:cNvPr id="6" name="Ano do orçamento" descr="Ano do orçamen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805056" y="0"/>
          <a:ext cx="1371599" cy="1054100"/>
        </a:xfrm>
        <a:prstGeom prst="rect">
          <a:avLst/>
        </a:prstGeom>
        <a:solidFill>
          <a:srgbClr val="EDF6E5"/>
        </a:solidFill>
        <a:ln>
          <a:noFill/>
        </a:ln>
        <a:effectLst>
          <a:softEdge rad="0"/>
        </a:effectLst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lIns="0" rIns="0" bIns="91440" rtlCol="0" anchor="b"/>
        <a:lstStyle/>
        <a:p>
          <a:pPr algn="ctr" rtl="0"/>
          <a:fld id="{9923941E-DD12-4942-9C7A-7F1C172CA821}" type="TxLink">
            <a:rPr lang="en-US" sz="3200" b="1" i="0" u="none" strike="noStrike">
              <a:solidFill>
                <a:srgbClr val="FFBCBC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Century Gothic" panose="020B0502020202020204" pitchFamily="34" charset="0"/>
            </a:rPr>
            <a:pPr algn="ctr" rtl="0"/>
            <a:t>2026</a:t>
          </a:fld>
          <a:endParaRPr lang="en-US" sz="3200" b="1">
            <a:solidFill>
              <a:srgbClr val="FFBCBC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Century Gothic" panose="020B0502020202020204" pitchFamily="34" charset="0"/>
          </a:endParaRPr>
        </a:p>
      </xdr:txBody>
    </xdr:sp>
    <xdr:clientData/>
  </xdr:twoCellAnchor>
</xdr:wsDr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Receita" displayName="Receita" ref="B3:C5" headerRowDxfId="15" dataDxfId="14" totalsRowDxfId="13" totalsRowShown="false">
  <autoFilter ref="B3:C5" xr:uid="{00000000-0009-0000-0100-000003000000}"/>
  <tableColumns count="2">
    <tableColumn id="1" xr3:uid="{00000000-0010-0000-0000-000001000000}" name="Item" totalsRowLabel="Total" dataDxfId="12" dataCellStyle="Normal"/>
    <tableColumn id="2" xr3:uid="{00000000-0010-0000-0000-000002000000}" name="Valor" totalsRowFunction="sum" dataDxfId="11" totalsRowDxfId="10" dataCellStyle="Moeda"/>
  </tableColumns>
  <tableStyleInfo name="Orçamento mensal simples" showFirstColumn="0" showLastColumn="0" showRowStripes="1" showColumnStripes="0"/>
  <extLst>
    <ext xmlns:x14="http://schemas.microsoft.com/office/spreadsheetml/2009/9/main" uri="{504A1905-F514-4f6f-8877-14C23A59335A}">
      <x14:table altTextSummary="Insira os Itens de receita mensal e os valores correspondentes na tabela.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Despesas" displayName="Despesas" ref="B3:C5" headerRowDxfId="9" dataDxfId="7" totalsRowDxfId="6" headerRowBorderDxfId="8" totalsRowShown="false">
  <autoFilter ref="B3:C5" xr:uid="{00000000-0009-0000-0100-000006000000}"/>
  <tableColumns count="2">
    <tableColumn id="1" xr3:uid="{00000000-0010-0000-0100-000001000000}" name="Item" totalsRowLabel="Total" dataDxfId="5" dataCellStyle="Normal"/>
    <tableColumn id="2" xr3:uid="{00000000-0010-0000-0100-000002000000}" name="Valor" totalsRowFunction="sum" dataDxfId="4" dataCellStyle="Moeda"/>
  </tableColumns>
  <tableStyleInfo name="Orçamento mensal simples" showFirstColumn="0" showLastColumn="0" showRowStripes="1" showColumnStripes="0"/>
  <extLst>
    <ext xmlns:x14="http://schemas.microsoft.com/office/spreadsheetml/2009/9/main" uri="{504A1905-F514-4f6f-8877-14C23A59335A}">
      <x14:table altTextSummary="Insira os Itens de despesa mensal e os valores correspondentes na tabela.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D140BCB-FDC6-4267-8AD7-6E8F07B7403C}" name="CARTÕES" displayName="CARTÕES" ref="A4:G6" headerRowDxfId="39" dataDxfId="37" totalsRowDxfId="36" headerRowBorderDxfId="38" totalsRowShown="false">
  <autoFilter ref="A4:G6" xr:uid="{6D140BCB-FDC6-4267-8AD7-6E8F07B7403C}">
    <filterColumn colId="2">
      <filters>
        <filter val="M"/>
      </filters>
    </filterColumn>
  </autoFilter>
  <tableColumns count="7">
    <tableColumn id="4" xr3:uid="{8D7F9CC7-B7C8-40B1-8074-6BA4628192BA}" name="Cartão" dataDxfId="35" totalsRowDxfId="34"/>
    <tableColumn id="6" xr3:uid="{73302229-FEB1-4D9E-8146-5B244B6E7B24}" name="Vencimento" dataDxfId="33" totalsRowDxfId="32"/>
    <tableColumn id="1" xr3:uid="{A30B90E2-5592-4CBC-85F5-3B409FBD2F28}" name="Cota" totalsRowLabel="Total" dataDxfId="31" dataCellStyle="Normal"/>
    <tableColumn id="2" xr3:uid="{3E32E62E-9926-401F-9EEE-6466C112E740}" name="Parcela" totalsRowFunction="sum" dataDxfId="30" totalsRowDxfId="29" dataCellStyle="Moeda"/>
    <tableColumn id="3" xr3:uid="{519F67E5-77DA-4A12-AE72-1D581487662B}" name="Descrição" dataDxfId="28"/>
    <tableColumn id="5" xr3:uid="{26BE6A58-07A1-4075-BAD4-EB942F0435EE}" name="Valor" dataDxfId="27" totalsRowDxfId="26"/>
    <tableColumn id="7" xr3:uid="{580907D9-A83C-45D1-A2F0-FA7CD72B5B82}" name="Categoria" dataDxfId="25" totalsRowDxfId="24"/>
  </tableColumns>
  <tableStyleInfo name="Orçamento mensal simples" showFirstColumn="0" showLastColumn="0" showRowStripes="1" showColumnStripes="0"/>
  <extLst>
    <ext xmlns:x14="http://schemas.microsoft.com/office/spreadsheetml/2009/9/main" uri="{504A1905-F514-4f6f-8877-14C23A59335A}">
      <x14:table altTextSummary="Insira os Itens de despesa mensal e os valores correspondentes na tabela.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BD5BE5-A1C4-4FF3-8970-BAF1E94EC28D}" name="Categorias" displayName="Categorias" ref="A1:A2" totalsRowShown="false" headerRowDxfId="3">
  <autoFilter ref="A1:A2" xr:uid="{15BD5BE5-A1C4-4FF3-8970-BAF1E94EC28D}"/>
  <tableColumns count="1">
    <tableColumn id="1" xr3:uid="{99BBBDFF-427B-4AA0-AD5A-4AB27C852F7E}" name="Categori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f02930040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285054"/>
      </a:accent1>
      <a:accent2>
        <a:srgbClr val="E6B52A"/>
      </a:accent2>
      <a:accent3>
        <a:srgbClr val="69AB90"/>
      </a:accent3>
      <a:accent4>
        <a:srgbClr val="5E9C9C"/>
      </a:accent4>
      <a:accent5>
        <a:srgbClr val="F0FCFB"/>
      </a:accent5>
      <a:accent6>
        <a:srgbClr val="A7E3C1"/>
      </a:accent6>
      <a:hlink>
        <a:srgbClr val="0563C1"/>
      </a:hlink>
      <a:folHlink>
        <a:srgbClr val="954F72"/>
      </a:folHlink>
    </a:clrScheme>
    <a:fontScheme name="ION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2" Target="../printerSettings/printerSettings1.bin" Type="http://schemas.openxmlformats.org/officeDocument/2006/relationships/printerSettings"/><Relationship Id="rId3" Target="../drawings/drawing1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tables/table4.xml" Type="http://schemas.openxmlformats.org/officeDocument/2006/relationships/table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tables/table5.xml" Type="http://schemas.openxmlformats.org/officeDocument/2006/relationships/table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tables/table6.xml" Type="http://schemas.openxmlformats.org/officeDocument/2006/relationships/table"/></Relationships>
</file>

<file path=xl/worksheets/_rels/sheet9.xml.rels><?xml version="1.0" encoding="UTF-8" standalone="yes"?><Relationships xmlns="http://schemas.openxmlformats.org/package/2006/relationships"><Relationship Id="rId1" Target="../tables/table7.xml" Type="http://schemas.openxmlformats.org/officeDocument/2006/relationships/table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38BA0"/>
    <pageSetUpPr autoPageBreaks="0" fitToPage="1"/>
  </sheetPr>
  <dimension ref="B1:Q18"/>
  <sheetViews>
    <sheetView showGridLines="0" topLeftCell="A3" zoomScale="160" zoomScaleNormal="160" workbookViewId="0">
      <selection activeCell="C12" sqref="C12"/>
    </sheetView>
  </sheetViews>
  <sheetFormatPr defaultColWidth="8.7109375" defaultRowHeight="30" customHeight="1" x14ac:dyDescent="0.35"/>
  <cols>
    <col min="1" max="1" customWidth="true" width="2.42578125"/>
    <col min="2" max="2" customWidth="true" width="54.7109375"/>
    <col min="3" max="3" customWidth="true" style="6" width="21.5"/>
    <col min="4" max="4" customWidth="true" width="60.5"/>
    <col min="5" max="5" customWidth="true" width="2.42578125"/>
    <col min="6" max="6" customWidth="true" width="9.0"/>
    <col min="7" max="7" bestFit="true" customWidth="true" width="19.0703125"/>
    <col min="8" max="8" bestFit="true" customWidth="true" width="12.35546875"/>
    <col min="9" max="9" customWidth="true" width="8.7109375"/>
    <col min="10" max="10" bestFit="true" customWidth="true" width="9.7109375"/>
  </cols>
  <sheetData>
    <row r="1" spans="2:17" ht="14.6" x14ac:dyDescent="0.35">
      <c r="D1" s="3" t="n">
        <v>2026.0</v>
      </c>
      <c r="G1" t="s" s="58">
        <v>0</v>
      </c>
      <c r="H1" t="s" s="0">
        <v>1</v>
      </c>
    </row>
    <row r="2" spans="2:17" ht="48.9" thickBot="1" x14ac:dyDescent="0.4">
      <c r="B2" s="22" t="s">
        <v>2</v>
      </c>
      <c r="C2" s="22" t="n">
        <v>2026.0</v>
      </c>
      <c r="D2" s="22"/>
      <c r="E2" s="22"/>
      <c r="F2" s="56"/>
      <c r="J2" s="56"/>
      <c r="K2" s="56"/>
      <c r="L2" s="56"/>
      <c r="M2" s="56"/>
      <c r="N2" s="56"/>
      <c r="O2" s="56"/>
      <c r="P2" s="56"/>
      <c r="Q2" s="56"/>
    </row>
    <row r="3" spans="2:17" ht="29.6" thickTop="1" x14ac:dyDescent="0.35">
      <c r="B3" s="23" t="s">
        <v>3</v>
      </c>
      <c r="C3" s="24"/>
      <c r="D3" s="2"/>
      <c r="F3" s="56"/>
      <c r="G3" t="s" s="93">
        <v>4</v>
      </c>
      <c r="H3" t="s" s="93">
        <v>5</v>
      </c>
      <c r="J3" s="56"/>
      <c r="K3" s="56"/>
      <c r="L3" s="56"/>
      <c r="M3" s="56"/>
      <c r="N3" s="56"/>
      <c r="O3" s="56"/>
      <c r="P3" s="56"/>
      <c r="Q3" s="56"/>
    </row>
    <row r="4" spans="2:17" ht="15" thickBot="1" x14ac:dyDescent="0.4">
      <c r="B4" s="5"/>
      <c r="C4" s="7"/>
      <c r="D4" s="2"/>
      <c r="F4" s="56"/>
      <c r="G4" s="42"/>
      <c r="H4" s="43"/>
      <c r="J4" s="56"/>
      <c r="K4" s="56"/>
      <c r="L4" s="56"/>
      <c r="M4" s="56"/>
      <c r="N4" s="56"/>
      <c r="O4" s="56"/>
      <c r="P4" s="56"/>
      <c r="Q4" s="56"/>
    </row>
    <row r="5" spans="2:17" ht="31.75" thickBot="1" x14ac:dyDescent="0.4">
      <c r="B5" s="33">
        <f>TotalMensaldeDespesas+C10</f>
      </c>
      <c r="C5" s="9">
        <f>IF(TotalMensaldeRenda=0,0,(TotalMensaldeDespesas+C10)/TotalMensaldeRenda)</f>
      </c>
      <c r="D5" s="2"/>
      <c r="F5" s="56"/>
      <c r="G5" t="s" s="94">
        <v>6</v>
      </c>
      <c r="H5" s="95">
        <f>SUM(H4:H4)</f>
      </c>
      <c r="J5" s="56"/>
      <c r="K5" s="56"/>
      <c r="L5" s="56"/>
      <c r="M5" s="56"/>
      <c r="N5" s="56"/>
      <c r="O5" s="56"/>
      <c r="P5" s="56"/>
      <c r="Q5" s="56"/>
    </row>
    <row r="6" spans="2:17" ht="15" thickBot="1" x14ac:dyDescent="0.4">
      <c r="B6" s="1"/>
      <c r="C6" s="8"/>
      <c r="D6" s="2"/>
      <c r="F6" s="56"/>
      <c r="J6" s="56"/>
      <c r="K6" s="56"/>
      <c r="L6" s="56"/>
      <c r="M6" s="56"/>
      <c r="N6" s="56"/>
      <c r="O6" s="56"/>
      <c r="P6" s="56"/>
      <c r="Q6" s="56"/>
    </row>
    <row r="7" spans="2:17" ht="17.149999999999999" x14ac:dyDescent="0.35">
      <c r="B7" s="119" t="s">
        <v>7</v>
      </c>
      <c r="C7" s="119"/>
      <c r="D7" s="2"/>
      <c r="F7" s="56"/>
      <c r="J7" s="56"/>
      <c r="K7" s="56"/>
      <c r="L7" s="56"/>
      <c r="M7" s="56"/>
      <c r="N7" s="56"/>
      <c r="O7" s="56"/>
      <c r="P7" s="56"/>
      <c r="Q7" s="56"/>
    </row>
    <row r="8" spans="2:17" ht="15" thickBot="1" x14ac:dyDescent="0.4">
      <c r="B8" s="4" t="s">
        <v>8</v>
      </c>
      <c r="C8" s="11">
        <f>TotalMensaldeRenda</f>
      </c>
      <c r="D8" s="2"/>
      <c r="F8" s="56"/>
      <c r="J8" s="56"/>
      <c r="K8" s="56"/>
      <c r="L8" s="56"/>
      <c r="M8" s="56"/>
      <c r="N8" s="56"/>
      <c r="O8" s="56"/>
      <c r="P8" s="56"/>
      <c r="Q8" s="56"/>
    </row>
    <row r="9" spans="2:17" s="14" customFormat="1" ht="15" thickBot="1" x14ac:dyDescent="0.4">
      <c r="B9" s="16" t="s">
        <v>9</v>
      </c>
      <c r="C9" s="17">
        <f>TotalMensaldeDespesas</f>
      </c>
      <c r="D9" s="15"/>
      <c r="F9" s="57"/>
      <c r="I9" s="0"/>
      <c r="J9" s="57"/>
      <c r="K9" s="57"/>
      <c r="L9" s="57"/>
      <c r="M9" s="57"/>
      <c r="N9" s="57"/>
      <c r="O9" s="57"/>
      <c r="P9" s="57"/>
      <c r="Q9" s="57"/>
    </row>
    <row r="10" spans="2:17" s="14" customFormat="1" ht="15" thickBot="1" x14ac:dyDescent="0.4">
      <c r="B10" s="16" t="s">
        <v>10</v>
      </c>
      <c r="C10" s="17">
        <f>SUM('Cartões'!F3)</f>
      </c>
      <c r="D10" s="15"/>
      <c r="F10" s="57"/>
      <c r="I10" s="0"/>
      <c r="J10" s="57"/>
      <c r="K10" s="57"/>
      <c r="L10" s="57"/>
      <c r="M10" s="57"/>
      <c r="N10" s="57"/>
      <c r="O10" s="57"/>
      <c r="P10" s="57"/>
      <c r="Q10" s="57"/>
    </row>
    <row r="11" spans="2:17" ht="15" thickBot="1" x14ac:dyDescent="0.4">
      <c r="D11" s="2"/>
      <c r="F11" s="56"/>
      <c r="J11" s="56"/>
      <c r="K11" s="56"/>
      <c r="L11" s="56"/>
      <c r="M11" s="56"/>
      <c r="N11" s="56"/>
      <c r="O11" s="56"/>
      <c r="P11" s="56"/>
      <c r="Q11" s="56"/>
    </row>
    <row r="12" spans="2:17" ht="17.600000000000001" thickBot="1" x14ac:dyDescent="0.4">
      <c r="B12" s="25" t="s">
        <v>11</v>
      </c>
      <c r="C12" s="12">
        <f>TotalMensaldeRenda-C9-C10</f>
      </c>
      <c r="D12" s="2"/>
      <c r="F12" s="56"/>
      <c r="J12" s="56"/>
      <c r="K12" s="56"/>
      <c r="L12" s="57"/>
      <c r="M12" s="56"/>
      <c r="N12" s="56"/>
      <c r="O12" s="56"/>
      <c r="P12" s="56"/>
      <c r="Q12" s="56"/>
    </row>
    <row r="13" spans="2:17" ht="14.6" x14ac:dyDescent="0.35">
      <c r="F13" s="56"/>
      <c r="J13" s="56"/>
      <c r="K13" s="56"/>
      <c r="L13" s="56"/>
      <c r="M13" s="56"/>
      <c r="N13" s="56"/>
      <c r="O13" s="56"/>
      <c r="P13" s="56"/>
      <c r="Q13" s="56"/>
    </row>
    <row r="14" spans="2:17" ht="14.6" x14ac:dyDescent="0.35">
      <c r="F14" s="56"/>
      <c r="J14" s="56"/>
      <c r="K14" s="56"/>
      <c r="L14" s="56"/>
      <c r="M14" s="56"/>
      <c r="N14" s="56"/>
      <c r="O14" s="56"/>
      <c r="P14" s="56"/>
      <c r="Q14" s="56"/>
    </row>
    <row r="15" spans="2:17" ht="14.6" x14ac:dyDescent="0.35">
      <c r="F15" s="56"/>
      <c r="J15" s="56"/>
      <c r="K15" s="56"/>
      <c r="L15" s="56"/>
      <c r="M15" s="56"/>
      <c r="N15" s="56"/>
      <c r="O15" s="56"/>
      <c r="P15" s="56"/>
      <c r="Q15" s="56"/>
    </row>
    <row r="17" spans="4:9" ht="14.6" x14ac:dyDescent="0.35">
      <c r="D17" s="6"/>
    </row>
    <row r="18" spans="4:9" ht="15.45" x14ac:dyDescent="0.35">
      <c r="D18" s="10"/>
      <c r="I18" s="14"/>
    </row>
  </sheetData>
  <mergeCells count="1">
    <mergeCell ref="B7:C7"/>
  </mergeCells>
  <conditionalFormatting sqref="B5">
    <cfRule type="dataBar" priority="6">
      <dataBar showValue="0">
        <cfvo type="num" val="0"/>
        <cfvo type="num" val="TotalMensaldeRenda"/>
        <color rgb="FFFFBCBC"/>
      </dataBar>
      <extLst>
        <ext xmlns:x14="http://schemas.microsoft.com/office/spreadsheetml/2009/9/main" uri="{B025F937-C7B1-47D3-B67F-A62EFF666E3E}">
          <x14:id>{24C4A4E8-E0A5-44E6-A920-4BA8985B0684}</x14:id>
        </ext>
      </extLst>
    </cfRule>
  </conditionalFormatting>
  <conditionalFormatting sqref="C5">
    <cfRule type="cellIs" dxfId="2" priority="4" operator="greaterThan">
      <formula>1</formula>
    </cfRule>
  </conditionalFormatting>
  <conditionalFormatting sqref="C12">
    <cfRule type="cellIs" dxfId="1" priority="2" operator="lessThan">
      <formula>0</formula>
    </cfRule>
  </conditionalFormatting>
  <conditionalFormatting sqref="D1">
    <cfRule type="notContainsBlanks" dxfId="0" priority="5">
      <formula>LEN(TRIM(D1))&gt;0</formula>
    </cfRule>
  </conditionalFormatting>
  <dataValidations count="16">
    <dataValidation allowBlank="1" showInputMessage="1" showErrorMessage="1" prompt="Crie um orçamento mensal simples nesta pasta de trabalho. Os gráficos de colunas agrupadas e resumo do orçamento são atualizados automaticamente a partir das planilhas de Despesas e receitas mensais. Digite o ano do orçamento na célula D1." sqref="A1" xr:uid="{00000000-0002-0000-0000-000000000000}"/>
    <dataValidation allowBlank="1" showInputMessage="1" showErrorMessage="1" prompt="Digite o ano do orçamento na célula D1. O título desta planilha está na célula abaixo." sqref="B1" xr:uid="{00000000-0002-0000-0000-000001000000}"/>
    <dataValidation allowBlank="1" showInputMessage="1" showErrorMessage="1" prompt="Digite o ano do orçamento nesta célula." sqref="D1" xr:uid="{00000000-0002-0000-0000-000002000000}"/>
    <dataValidation allowBlank="1" showInputMessage="1" showErrorMessage="1" prompt="O título desta planilha está nesta célula. Insira a renda mensal na planilha de renda mensal e as despesas mensais na planilha de despesas mensais." sqref="B2" xr:uid="{00000000-0002-0000-0000-000003000000}"/>
    <dataValidation allowBlank="1" showInputMessage="1" showErrorMessage="1" prompt="Receita mensal total, Despesa mensal total e Saldo são atualizados automaticamente nas células abaixo." sqref="B7:C7" xr:uid="{00000000-0002-0000-0000-000004000000}"/>
    <dataValidation allowBlank="1" showInputMessage="1" showErrorMessage="1" prompt="Despesa mensal total é atualizada automaticamente na célula à direita." sqref="B9:B10" xr:uid="{00000000-0002-0000-0000-000005000000}"/>
    <dataValidation allowBlank="1" showInputMessage="1" showErrorMessage="1" prompt="Despesa mensal total é atualizada automaticamente nesta célula." sqref="C9:C10" xr:uid="{00000000-0002-0000-0000-000006000000}"/>
    <dataValidation allowBlank="1" showInputMessage="1" showErrorMessage="1" prompt="Receita mensal total é atualizada automaticamente na célula à direita." sqref="B8" xr:uid="{00000000-0002-0000-0000-000007000000}"/>
    <dataValidation allowBlank="1" showInputMessage="1" showErrorMessage="1" prompt="Receita mensal total é atualizada automaticamente nesta célula." sqref="C8" xr:uid="{00000000-0002-0000-0000-000008000000}"/>
    <dataValidation allowBlank="1" showInputMessage="1" showErrorMessage="1" prompt="O saldo é calculado automaticamente na célula à direita." sqref="B12" xr:uid="{00000000-0002-0000-0000-000009000000}"/>
    <dataValidation allowBlank="1" showInputMessage="1" showErrorMessage="1" prompt="O saldo é calculado automaticamente nesta célula." sqref="C12" xr:uid="{00000000-0002-0000-0000-00000A000000}"/>
    <dataValidation allowBlank="1" showInputMessage="1" showErrorMessage="1" prompt="Nesta célula está a Barra de dados exibindo o Percentual de receita gasta." sqref="B5" xr:uid="{00000000-0002-0000-0000-00000B000000}"/>
    <dataValidation allowBlank="1" showInputMessage="1" showErrorMessage="1" prompt="Nesta célula está o Percentual de receita gasta" sqref="C5" xr:uid="{00000000-0002-0000-0000-00000C000000}"/>
    <dataValidation allowBlank="1" showInputMessage="1" showErrorMessage="1" prompt="O Percentual de receita gasta está nas células abaixo." sqref="B3:B4 C4" xr:uid="{00000000-0002-0000-0000-00000D000000}"/>
    <dataValidation allowBlank="1" showInputMessage="1" showErrorMessage="1" prompt="O gráfico de colunas clusterizado retratando as Receitas e Despesas mensais está nesta célula." sqref="D3:D4" xr:uid="{00000000-0002-0000-0000-00000E000000}"/>
    <dataValidation type="list" sqref="H1" allowBlank="true" errorStyle="stop" showErrorMessage="true">
      <formula1>'Listas'!$C$2:$C$2</formula1>
    </dataValidation>
  </dataValidations>
  <printOptions horizontalCentered="1"/>
  <pageMargins left="0.25" right="0.25" top="0.75" bottom="0.75" header="0.3" footer="0.3"/>
  <pageSetup paperSize="9" scale="60" fitToHeight="0" orientation="portrait" r:id="rId2"/>
  <headerFooter differentFirst="1">
    <oddFooter>Page &amp;P of &amp;N</oddFooter>
  </headerFooter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C4A4E8-E0A5-44E6-A920-4BA8985B0684}">
            <x14:dataBar minLength="0" maxLength="100" border="1" gradient="0">
              <x14:cfvo type="num">
                <xm:f>0</xm:f>
              </x14:cfvo>
              <x14:cfvo type="num">
                <xm:f>TotalMensaldeRenda</xm:f>
              </x14:cfvo>
              <x14:borderColor theme="0"/>
              <x14:negativeFillColor rgb="FFFF0000"/>
              <x14:axisColor rgb="FF000000"/>
            </x14:dataBar>
          </x14:cfRule>
          <xm:sqref>B5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EDF6E5"/>
    <pageSetUpPr autoPageBreaks="0" fitToPage="1"/>
  </sheetPr>
  <dimension ref="B1:H5"/>
  <sheetViews>
    <sheetView showGridLines="0" zoomScaleNormal="100" workbookViewId="0">
      <selection activeCell="C14" sqref="C14"/>
    </sheetView>
  </sheetViews>
  <sheetFormatPr defaultColWidth="8.7109375" defaultRowHeight="30" customHeight="1" x14ac:dyDescent="0.35"/>
  <cols>
    <col min="1" max="1" customWidth="true" width="2.42578125"/>
    <col min="2" max="2" customWidth="true" width="54.7109375"/>
    <col min="3" max="3" customWidth="true" width="21.5"/>
    <col min="4" max="4" customWidth="true" width="2.42578125"/>
    <col min="5" max="5" bestFit="true" customWidth="true" width="13.2109375"/>
    <col min="7" max="7" customWidth="true" style="21" width="23.2109375"/>
    <col min="8" max="8" bestFit="true" customWidth="true" width="13.5"/>
  </cols>
  <sheetData>
    <row r="1" spans="2:8" ht="15" customHeight="1" x14ac:dyDescent="0.35">
      <c r="G1" s="21"/>
    </row>
    <row r="2" spans="2:8" ht="60" customHeight="1" thickBot="1" x14ac:dyDescent="0.4">
      <c r="B2" s="120" t="s">
        <v>12</v>
      </c>
      <c r="C2" s="120"/>
      <c r="F2" s="38"/>
      <c r="G2" t="s" s="40">
        <v>6</v>
      </c>
      <c r="H2" s="41">
        <f>SUM(H4:H4)</f>
      </c>
    </row>
    <row r="3" spans="2:8" ht="30" customHeight="1" thickTop="1" thickBot="1" x14ac:dyDescent="0.4">
      <c r="B3" s="30" t="s">
        <v>13</v>
      </c>
      <c r="C3" s="30" t="s">
        <v>5</v>
      </c>
      <c r="F3" s="31" t="s">
        <v>0</v>
      </c>
      <c r="G3" s="31" t="s">
        <v>14</v>
      </c>
      <c r="H3" s="31" t="s">
        <v>5</v>
      </c>
    </row>
    <row r="4">
      <c r="B4" s="26"/>
      <c r="C4" s="27"/>
    </row>
    <row r="5">
      <c r="B5" s="10"/>
      <c r="C5" s="13"/>
    </row>
  </sheetData>
  <mergeCells count="1">
    <mergeCell ref="B2:C2"/>
  </mergeCells>
  <dataValidations count="4">
    <dataValidation allowBlank="1" showInputMessage="1" showErrorMessage="1" prompt="Insira a Receita mensal nesta planilha." sqref="A2" xr:uid="{00000000-0002-0000-0100-000000000000}"/>
    <dataValidation allowBlank="1" showInputMessage="1" showErrorMessage="1" prompt="O título desta planilha está nesta célula." sqref="B2" xr:uid="{00000000-0002-0000-0100-000001000000}"/>
    <dataValidation allowBlank="1" showInputMessage="1" showErrorMessage="1" prompt="Insira os Itens de receita mensal na coluna sob este cabeçalho. Use filtros de cabeçalho para localizar entradas de itens específicos." sqref="B3" xr:uid="{00000000-0002-0000-0100-000002000000}"/>
    <dataValidation allowBlank="1" showInputMessage="1" showErrorMessage="1" prompt="Insira o Valor na coluna sob este cabeçalho." sqref="C3" xr:uid="{00000000-0002-0000-0100-000003000000}"/>
  </dataValidations>
  <printOptions horizontalCentered="1"/>
  <pageMargins left="0.25" right="0.25" top="0.75" bottom="0.75" header="0.3" footer="0.3"/>
  <pageSetup paperSize="9" fitToHeight="0" orientation="portrait" r:id="rId1"/>
  <headerFooter differentFirst="1">
    <oddFooter>Page &amp;P of &amp;N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B5EAEA"/>
    <pageSetUpPr autoPageBreaks="0" fitToPage="1"/>
  </sheetPr>
  <dimension ref="B1:F5"/>
  <sheetViews>
    <sheetView showGridLines="0" zoomScaleNormal="100" workbookViewId="0">
      <selection activeCell="C11" sqref="C11"/>
    </sheetView>
  </sheetViews>
  <sheetFormatPr defaultColWidth="8.7109375" defaultRowHeight="30" customHeight="1" x14ac:dyDescent="0.35"/>
  <cols>
    <col min="1" max="1" customWidth="true" width="2.42578125"/>
    <col min="2" max="2" customWidth="true" width="54.7109375"/>
    <col min="3" max="3" customWidth="true" width="21.5"/>
    <col min="4" max="4" bestFit="true" customWidth="true" width="11.2109375"/>
    <col min="5" max="5" customWidth="true" width="29.7109375"/>
    <col min="6" max="6" bestFit="true" customWidth="true" width="12.92578125"/>
    <col min="7" max="8" customWidth="true" width="23.85546875"/>
  </cols>
  <sheetData>
    <row r="1" spans="1:7" ht="15" customHeight="1" thickBot="1" x14ac:dyDescent="0.4"/>
    <row r="2" spans="1:7" ht="60" customHeight="1" x14ac:dyDescent="0.35">
      <c r="B2" s="121" t="s">
        <v>15</v>
      </c>
      <c r="C2" s="121"/>
      <c r="E2" s="122" t="s">
        <v>16</v>
      </c>
      <c r="F2" s="123"/>
    </row>
    <row r="3" spans="1:7" ht="30" customHeight="1" x14ac:dyDescent="0.35">
      <c r="B3" s="110" t="s">
        <v>13</v>
      </c>
      <c r="C3" s="29" t="s">
        <v>5</v>
      </c>
      <c r="E3" s="103" t="s">
        <v>17</v>
      </c>
      <c r="F3" s="104" t="s">
        <v>6</v>
      </c>
    </row>
    <row r="4">
      <c r="B4" s="107"/>
      <c r="C4" s="111"/>
      <c r="E4" s="97"/>
      <c r="F4" s="98"/>
    </row>
    <row r="5">
      <c r="B5" s="108"/>
      <c r="C5" s="113"/>
    </row>
  </sheetData>
  <mergeCells count="2">
    <mergeCell ref="B2:C2"/>
    <mergeCell ref="E2:F2"/>
  </mergeCells>
  <dataValidations count="4">
    <dataValidation allowBlank="1" showInputMessage="1" showErrorMessage="1" prompt="Insira as Despesas mensais nesta planilha." sqref="A2" xr:uid="{00000000-0002-0000-0200-000000000000}"/>
    <dataValidation allowBlank="1" showInputMessage="1" showErrorMessage="1" prompt="O título desta planilha está nesta célula." sqref="B2:C2" xr:uid="{00000000-0002-0000-0200-000001000000}"/>
    <dataValidation allowBlank="1" showInputMessage="1" showErrorMessage="1" prompt="Insira os Itens de despesa mensal na coluna sob este cabeçalho. Use filtros de cabeçalho para localizar entradas de itens específicos." sqref="B3" xr:uid="{00000000-0002-0000-0200-000002000000}"/>
    <dataValidation allowBlank="1" showInputMessage="1" showErrorMessage="1" prompt="Insira o Valor na coluna sob este cabeçalho." sqref="C3" xr:uid="{00000000-0002-0000-0200-000003000000}"/>
  </dataValidations>
  <printOptions horizontalCentered="1"/>
  <pageMargins left="0.25" right="0.25" top="0.75" bottom="0.75" header="0.3" footer="0.3"/>
  <pageSetup paperSize="9" fitToHeight="0" orientation="portrait" r:id="rId1"/>
  <headerFooter differentFirst="1">
    <oddFooter>Page &amp;P of &amp;N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1D97C-E80F-4B17-BA0C-096899092BA6}">
  <sheetPr>
    <tabColor rgb="FFFFBCBC"/>
    <pageSetUpPr autoPageBreaks="0" fitToPage="1"/>
  </sheetPr>
  <dimension ref="A1:I6"/>
  <sheetViews>
    <sheetView showGridLines="0" tabSelected="1" topLeftCell="A4" zoomScale="70" zoomScaleNormal="70" workbookViewId="0">
      <selection activeCell="M51" sqref="M51"/>
    </sheetView>
  </sheetViews>
  <sheetFormatPr defaultColWidth="8.7109375" defaultRowHeight="30" customHeight="1" x14ac:dyDescent="0.35"/>
  <cols>
    <col min="1" max="1" bestFit="true" customWidth="true" style="61" width="20.7109375"/>
    <col min="2" max="2" bestFit="true" customWidth="true" style="72" width="22.0"/>
    <col min="3" max="3" bestFit="true" customWidth="true" width="10.2109375"/>
    <col min="4" max="4" customWidth="true" style="89" width="14.5"/>
    <col min="5" max="5" bestFit="true" customWidth="true" style="18" width="41.5703125"/>
    <col min="6" max="6" bestFit="true" customWidth="true" style="67" width="19.2109375"/>
    <col min="7" max="7" bestFit="true" customWidth="true" style="49" width="16.7109375"/>
    <col min="8" max="8" customWidth="true" width="8.7109375"/>
    <col min="9" max="9" bestFit="true" customWidth="true" width="8.2109375"/>
    <col min="10" max="10" bestFit="true" customWidth="true" width="15.140625"/>
    <col min="11" max="11" customWidth="true" width="12.0703125"/>
    <col min="12" max="13" customWidth="true" width="14.0"/>
    <col min="14" max="14" customWidth="true" width="8.7109375"/>
    <col min="15" max="15" bestFit="true" customWidth="true" width="8.2109375"/>
    <col min="16" max="16" bestFit="true" customWidth="true" width="13.42578125"/>
    <col min="17" max="17" bestFit="true" customWidth="true" width="11.5703125"/>
    <col min="18" max="19" bestFit="true" customWidth="true" width="13.42578125"/>
  </cols>
  <sheetData>
    <row r="1" spans="1:13" ht="15" customHeight="1" x14ac:dyDescent="0.35">
      <c r="B1" s="36"/>
      <c r="C1" s="37"/>
    </row>
    <row r="2" spans="1:13" ht="20.9" customHeight="1" x14ac:dyDescent="0.35">
      <c r="A2" s="118" t="s">
        <v>16</v>
      </c>
      <c r="B2" s="118"/>
      <c r="C2" s="118"/>
      <c r="D2" s="90"/>
      <c r="E2" s="32"/>
      <c r="F2" s="68"/>
      <c r="G2" s="50"/>
    </row>
    <row r="3" spans="1:13" ht="36.75" customHeight="1" thickBot="1" x14ac:dyDescent="0.4">
      <c r="A3" s="118"/>
      <c r="B3" s="118"/>
      <c r="C3" s="118"/>
      <c r="D3" s="90"/>
      <c r="E3" s="55" t="s">
        <v>6</v>
      </c>
      <c r="F3" s="114">
        <f>SUM(F5:F6)</f>
      </c>
      <c r="G3" s="71"/>
      <c r="I3" t="s" s="47">
        <v>18</v>
      </c>
    </row>
    <row r="4" spans="1:13" ht="30" customHeight="1" thickTop="1" thickBot="1" x14ac:dyDescent="0.4">
      <c r="A4" s="62" t="s">
        <v>19</v>
      </c>
      <c r="B4" s="53" t="s">
        <v>20</v>
      </c>
      <c r="C4" s="28" t="s">
        <v>0</v>
      </c>
      <c r="D4" s="91" t="s">
        <v>21</v>
      </c>
      <c r="E4" s="35" t="s">
        <v>22</v>
      </c>
      <c r="F4" s="69" t="s">
        <v>5</v>
      </c>
      <c r="G4" s="51" t="s">
        <v>4</v>
      </c>
      <c r="I4" t="s" s="45">
        <v>6</v>
      </c>
    </row>
    <row r="5">
      <c r="A5" s="59"/>
      <c r="B5" s="73"/>
      <c r="C5" s="10"/>
      <c r="D5" s="92"/>
      <c r="E5" s="64"/>
      <c r="F5" s="65"/>
      <c r="G5" s="34"/>
    </row>
    <row r="6">
      <c r="A6" s="59"/>
      <c r="B6" s="73"/>
      <c r="C6" s="10"/>
      <c r="D6" s="92"/>
      <c r="E6" s="64"/>
      <c r="F6" s="65"/>
      <c r="G6" s="34"/>
    </row>
  </sheetData>
  <mergeCells count="1">
    <mergeCell ref="A2:C3"/>
  </mergeCells>
  <phoneticPr fontId="39" type="noConversion"/>
  <dataValidations count="5">
    <dataValidation allowBlank="1" showInputMessage="1" showErrorMessage="1" prompt="O título desta planilha está nesta célula." sqref="A2:B2" xr:uid="{2D4E8895-0B47-4C72-B699-0A9E9EB0569E}"/>
    <dataValidation allowBlank="1" showInputMessage="1" showErrorMessage="1" prompt="Insira os Itens de despesa mensal na coluna sob este cabeçalho. Use filtros de cabeçalho para localizar entradas de itens específicos." sqref="C4" xr:uid="{AB0DA63A-E29A-43C2-96C5-59D0A9033600}"/>
    <dataValidation allowBlank="1" showInputMessage="1" showErrorMessage="1" prompt="Insira o Valor na coluna sob este cabeçalho." sqref="D4:E4" xr:uid="{C58F2E58-256C-41AD-8811-253FC210417D}"/>
    <dataValidation type="list" sqref="C5:C6" allowBlank="true" errorStyle="stop" showErrorMessage="false">
      <formula1>'Listas'!$C$2:$C$2</formula1>
    </dataValidation>
    <dataValidation type="list" sqref="G5:G6" allowBlank="true" errorStyle="stop" showErrorMessage="false">
      <formula1>'Listas'!$A$2:$A$2</formula1>
    </dataValidation>
  </dataValidations>
  <printOptions horizontalCentered="1"/>
  <pageMargins left="0.25" right="0.25" top="0.75" bottom="0.75" header="0.3" footer="0.3"/>
  <pageSetup paperSize="9" fitToHeight="0" orientation="portrait" r:id="rId1"/>
  <headerFooter differentFirst="1">
    <oddFooter>Page &amp;P of &amp;N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83166C-A876-445A-BA8D-78FE41377B03}">
          <x14:formula1>
            <xm:f>Listas!$A$2:$A$52</xm:f>
          </x14:formula1>
          <xm:sqref>G3 G50:G1048576 G23 G17:G21 G5:G15 G25:G38 G40:G47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CDCEC-4D21-4559-8239-7E9E72751BF8}">
  <dimension ref="B2:F4"/>
  <sheetViews>
    <sheetView topLeftCell="A17" workbookViewId="0">
      <selection activeCell="F28" sqref="F28"/>
    </sheetView>
  </sheetViews>
  <sheetFormatPr defaultRowHeight="14.6" x14ac:dyDescent="0.35"/>
  <cols>
    <col min="1" max="1" customWidth="true" width="2.2109375"/>
    <col min="2" max="2" customWidth="true" width="19.2109375"/>
    <col min="3" max="3" bestFit="true" customWidth="true" width="15.7109375"/>
    <col min="4" max="4" bestFit="true" customWidth="true" width="8.2109375"/>
    <col min="5" max="5" customWidth="true" width="32.7109375"/>
    <col min="6" max="6" customWidth="true" width="12.640625"/>
    <col min="8" max="8" bestFit="true" customWidth="true" width="19.0"/>
    <col min="9" max="9" bestFit="true" customWidth="true" width="15.7109375"/>
    <col min="10" max="10" bestFit="true" customWidth="true" width="8.2109375"/>
    <col min="11" max="11" bestFit="true" customWidth="true" width="26.42578125"/>
    <col min="12" max="12" bestFit="true" customWidth="true" width="12.35546875"/>
    <col min="14" max="14" customWidth="true" width="24.35546875"/>
    <col min="15" max="15" customWidth="true" width="30.2109375"/>
  </cols>
  <sheetData>
    <row r="2">
      <c r="B2" t="s" s="124">
        <v>23</v>
      </c>
      <c r="C2" s="124"/>
      <c r="D2" s="124"/>
      <c r="E2" s="124"/>
      <c r="F2" s="88">
        <f>SUM(F4:F4)</f>
      </c>
    </row>
    <row r="3">
      <c r="B3" t="s" s="78">
        <v>19</v>
      </c>
      <c r="C3" t="s" s="74">
        <v>20</v>
      </c>
      <c r="D3" t="s" s="75">
        <v>21</v>
      </c>
      <c r="E3" t="s" s="76">
        <v>22</v>
      </c>
      <c r="F3" t="s" s="79">
        <v>5</v>
      </c>
    </row>
    <row r="4">
      <c r="B4" s="80"/>
      <c r="C4" s="73"/>
      <c r="D4" s="81"/>
      <c r="E4" s="48"/>
      <c r="F4" s="82"/>
    </row>
  </sheetData>
  <mergeCells count="1">
    <mergeCell ref="B2:E2"/>
  </mergeCells>
  <dataValidations count="1">
    <dataValidation allowBlank="1" showInputMessage="1" showErrorMessage="1" prompt="Insira o Valor na coluna sob este cabeçalho." sqref="D3:E3 D22:E22 J3:K3 J15:K15 J27:K27" xr:uid="{12318A23-D1C9-4D74-8E71-26D2B2C88217}"/>
  </dataValidation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B9EC-7EE6-4429-8767-340FB79887B0}">
  <dimension ref="A1:C2"/>
  <sheetViews>
    <sheetView workbookViewId="0">
      <selection activeCell="A20" sqref="A20"/>
    </sheetView>
  </sheetViews>
  <sheetFormatPr defaultRowHeight="14.6" x14ac:dyDescent="0.35"/>
  <cols>
    <col min="1" max="1" customWidth="true" width="20.5703125"/>
    <col min="2" max="2" customWidth="true" width="26.0703125"/>
    <col min="3" max="3" customWidth="true" width="19.0703125"/>
    <col min="4" max="4" customWidth="true" width="19.92578125"/>
    <col min="5" max="5" customWidth="true" width="21.5"/>
  </cols>
  <sheetData>
    <row r="1">
      <c r="A1" t="s" s="54">
        <v>4</v>
      </c>
      <c r="C1" t="s" s="54">
        <v>0</v>
      </c>
    </row>
    <row r="2">
      <c r="A2" s="0"/>
    </row>
  </sheetData>
  <dataValidations count="1">
    <dataValidation allowBlank="1" showInputMessage="1" showErrorMessage="1" promptTitle="CATEGORIAS" sqref="A2:A22" xr:uid="{69F73E10-8F11-43DC-8EBF-F1D16E68B095}"/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TM02930040</Templat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10</vt:i4>
      </vt:variant>
    </vt:vector>
  </HeadingPairs>
  <TitlesOfParts>
    <vt:vector size="19" baseType="lpstr">
      <vt:lpstr>Detalhes1</vt:lpstr>
      <vt:lpstr>Detalhes2</vt:lpstr>
      <vt:lpstr>Detalhes3</vt:lpstr>
      <vt:lpstr>Resumo</vt:lpstr>
      <vt:lpstr>Renda mensal</vt:lpstr>
      <vt:lpstr>Despesas mensais</vt:lpstr>
      <vt:lpstr>Cartões</vt:lpstr>
      <vt:lpstr>MÃE</vt:lpstr>
      <vt:lpstr>Listas</vt:lpstr>
      <vt:lpstr>'Cartões'!Cartão</vt:lpstr>
      <vt:lpstr>'Cartões'!FaturaDoCartão</vt:lpstr>
      <vt:lpstr>RegiãoDoTítuloDaLinha1..C8</vt:lpstr>
      <vt:lpstr>RegiãoDoTítuloDaLinha2..C10</vt:lpstr>
      <vt:lpstr>'Cartões'!TítuloDaColuna2</vt:lpstr>
      <vt:lpstr>TítuloDaColuna2</vt:lpstr>
      <vt:lpstr>TítuloDaColuna3</vt:lpstr>
      <vt:lpstr>'Cartões'!Titulos_de_impressao</vt:lpstr>
      <vt:lpstr>'Despesas mensais'!Titulos_de_impressao</vt:lpstr>
      <vt:lpstr>'Renda mensal'!Titulos_de_impressao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2022-11-21T06:13:32Z</dcterms:created>
  <dcterms:modified xsi:type="dcterms:W3CDTF">2026-10-26T18:43:04Z</dcterms:modified>
</cp:coreProperties>
</file>
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codeName="ThisWorkbook" hidePivotFieldList="1"/>
  <xr:revisionPtr revIDLastSave="2438" documentId="13_ncr:1_{DE7FE513-97A7-4763-A8D8-CA6F7DCB004D}" xr6:coauthVersionLast="47" xr6:coauthVersionMax="47" xr10:uidLastSave="{0826CEC3-45F9-4EA1-A5FC-7B3892A77C96}"/>
  <bookViews>
    <workbookView xWindow="214" yWindow="154" windowWidth="19183" windowHeight="11263" firstSheet="3" activeTab="6" xr2:uid="{00000000-000D-0000-FFFF-FFFF00000000}"/>
  </bookViews>
  <sheets>
    <sheet name="Detalhes1" sheetId="14" r:id="rId1"/>
    <sheet name="Detalhes2" sheetId="16" r:id="rId2"/>
    <sheet name="Detalhes3" sheetId="17" r:id="rId3"/>
    <sheet name="Resumo" sheetId="1" r:id="rId4"/>
    <sheet name="Renda mensal" sheetId="2" r:id="rId5"/>
    <sheet name="Despesas mensais" sheetId="3" r:id="rId6"/>
    <sheet name="Cartões" sheetId="6" r:id="rId7"/>
    <sheet name="MÃE" sheetId="8" r:id="rId8"/>
    <sheet name="Listas" sheetId="7" r:id="rId9"/>
  </sheets>
  <definedNames>
    <definedName name="Cartão" localSheetId="6">'Cartões'!$A$2:$D$6</definedName>
    <definedName name="Cartão">#REF!</definedName>
    <definedName name="FaturaDoCartão" localSheetId="6">'Cartões'!$A$2:$D$6</definedName>
    <definedName name="FaturaDoCartão">#REF!</definedName>
    <definedName name="RegiãoDoTítuloDaLinha1..C8">Resumo!$B$8</definedName>
    <definedName name="RegiãoDoTítuloDaLinha2..C10">Resumo!$B$12</definedName>
    <definedName name="TítuloDaColuna2" localSheetId="6">Receita[[#Headers],[Item]]</definedName>
    <definedName name="TítuloDaColuna2">Receita[[#Headers],[Item]]</definedName>
    <definedName name="TítuloDaColuna3" localSheetId="6">#REF!</definedName>
    <definedName name="TítuloDaColuna3">Despesas[[#Headers],[Item]]</definedName>
    <definedName name="_xlnm.Print_Titles" localSheetId="6">'Cartões'!$4:$4</definedName>
    <definedName name="_xlnm.Print_Titles" localSheetId="5">'Despesas mensais'!$3:$3</definedName>
    <definedName name="_xlnm.Print_Titles" localSheetId="4">'Renda mensal'!$3:$3</definedName>
    <definedName name="TotalMensaldeDespesas" localSheetId="6">SUM(#REF!)</definedName>
    <definedName name="TotalMensaldeDespesas">SUM(Despesas[Valor])</definedName>
    <definedName name="TotalMensaldeRenda" localSheetId="6">SUM(Receita[Valor])</definedName>
    <definedName name="TotalMensaldeRenda">SUM(Receita[Valor])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F43" i="6"/>
  <c r="F9" i="6"/>
  <c r="F123" i="6"/>
  <c r="F124" i="6"/>
  <c r="E4" i="3" a="1"/>
  <c r="L14" i="8"/>
  <c r="L26" i="8"/>
  <c r="L2" i="8"/>
  <c r="F21" i="8"/>
  <c r="F2" i="8"/>
  <c r="D1" i="1"/>
  <c r="C9" i="1"/>
  <c r="M4" i="6"/>
  <c r="H6" i="2" s="1"/>
  <c r="C8" i="2" s="1"/>
  <c r="J4" i="6" l="1"/>
  <c r="L4" i="6"/>
  <c r="H4" i="2" s="1"/>
  <c r="F3" i="6"/>
  <c r="C10" i="1" s="1"/>
  <c r="B5" i="1" s="1"/>
  <c r="K4" i="6"/>
  <c r="H5" i="2" s="1"/>
  <c r="H2" i="2" l="1"/>
  <c r="C7" i="2"/>
  <c r="C8" i="1" l="1"/>
  <c r="C5" i="1"/>
  <c r="C12" i="1"/>
  <c r="F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<sst xmlns="http://schemas.openxmlformats.org/spreadsheetml/2006/main" count="1095" uniqueCount="243">
  <si>
    <t>ORÇAMENTO DE MAIO</t>
  </si>
  <si>
    <t>PORCENTAGEM DA RENDA GASTA</t>
  </si>
  <si>
    <t>RESUMO</t>
  </si>
  <si>
    <t>Renda mensal total</t>
  </si>
  <si>
    <t>Despesas mensais totais</t>
  </si>
  <si>
    <t>Despesas Cartão totais</t>
  </si>
  <si>
    <t>SALDO</t>
  </si>
  <si>
    <t>RENDA MENSAL</t>
  </si>
  <si>
    <t>Item</t>
  </si>
  <si>
    <t>Valor</t>
  </si>
  <si>
    <t>Renda Extra</t>
  </si>
  <si>
    <t>DESPESAS MENSAIS</t>
  </si>
  <si>
    <t>Parcela do carro</t>
  </si>
  <si>
    <t>Plano de saúde</t>
  </si>
  <si>
    <t>Cota</t>
  </si>
  <si>
    <t>T</t>
  </si>
  <si>
    <t>M</t>
  </si>
  <si>
    <t>TOTAL</t>
  </si>
  <si>
    <t>Pessoa</t>
  </si>
  <si>
    <t>Internet</t>
  </si>
  <si>
    <t>Paula</t>
  </si>
  <si>
    <t>Renata</t>
  </si>
  <si>
    <t>Vencimento</t>
  </si>
  <si>
    <t>Renda Lia</t>
  </si>
  <si>
    <t>Renda Beto</t>
  </si>
  <si>
    <t>AP</t>
  </si>
  <si>
    <t>Carlos Pai</t>
  </si>
  <si>
    <t>Descrição</t>
  </si>
  <si>
    <t>Cartão</t>
  </si>
  <si>
    <t>Parcela</t>
  </si>
  <si>
    <t>CARTÕES</t>
  </si>
  <si>
    <t>COTA</t>
  </si>
  <si>
    <t>Nubank Bet</t>
  </si>
  <si>
    <t>Tim Pos</t>
  </si>
  <si>
    <t>AB</t>
  </si>
  <si>
    <t>Eletros</t>
  </si>
  <si>
    <t>Click Lia</t>
  </si>
  <si>
    <t>Tablet</t>
  </si>
  <si>
    <t>Credicard Lia</t>
  </si>
  <si>
    <t>Case do Switch</t>
  </si>
  <si>
    <t>Azul</t>
  </si>
  <si>
    <t>04/05</t>
  </si>
  <si>
    <t>04/04</t>
  </si>
  <si>
    <t>05/05</t>
  </si>
  <si>
    <t>Categoria</t>
  </si>
  <si>
    <t>Comida</t>
  </si>
  <si>
    <t>Ifood</t>
  </si>
  <si>
    <t>Mercado</t>
  </si>
  <si>
    <t>Farmácia</t>
  </si>
  <si>
    <t>Lazer</t>
  </si>
  <si>
    <t>Roupas</t>
  </si>
  <si>
    <t>Beleza</t>
  </si>
  <si>
    <t>Outros</t>
  </si>
  <si>
    <t>Mudança</t>
  </si>
  <si>
    <t>Casa</t>
  </si>
  <si>
    <t>Trabalho</t>
  </si>
  <si>
    <t>Carro</t>
  </si>
  <si>
    <t>Estudo</t>
  </si>
  <si>
    <t>Credicard Bet</t>
  </si>
  <si>
    <t>Assinatura</t>
  </si>
  <si>
    <t>Uber</t>
  </si>
  <si>
    <t>Dogs</t>
  </si>
  <si>
    <t>Viagem</t>
  </si>
  <si>
    <t>DASS</t>
  </si>
  <si>
    <t>Soma de Valor</t>
  </si>
  <si>
    <t>Rótulos de Linha</t>
  </si>
  <si>
    <t>Total Geral</t>
  </si>
  <si>
    <t>05/06</t>
  </si>
  <si>
    <t>*</t>
  </si>
  <si>
    <t>01/04</t>
  </si>
  <si>
    <t>Carrefour Beto</t>
  </si>
  <si>
    <t>Carrefour Lia</t>
  </si>
  <si>
    <t>Geladeira</t>
  </si>
  <si>
    <t>Mercado Livre</t>
  </si>
  <si>
    <t>Cadeira</t>
  </si>
  <si>
    <t>Uniclass</t>
  </si>
  <si>
    <t>Seguro Fiança</t>
  </si>
  <si>
    <t>Energia</t>
  </si>
  <si>
    <t>Gás</t>
  </si>
  <si>
    <t>Ajuda Pai Beto</t>
  </si>
  <si>
    <t>Spotify</t>
  </si>
  <si>
    <t>Google play</t>
  </si>
  <si>
    <t>kabum</t>
  </si>
  <si>
    <t>mesa</t>
  </si>
  <si>
    <t>Ig*Vetwork - Sistema pet</t>
  </si>
  <si>
    <t>06/06</t>
  </si>
  <si>
    <t>Cadeiras</t>
  </si>
  <si>
    <t>Empréstimo</t>
  </si>
  <si>
    <t>JUNHO</t>
  </si>
  <si>
    <t>02/04</t>
  </si>
  <si>
    <t>03/12</t>
  </si>
  <si>
    <t>Empréstimo Motor Carro</t>
  </si>
  <si>
    <t>Airbnb</t>
  </si>
  <si>
    <t>Boletos</t>
  </si>
  <si>
    <t>Seguro Carro</t>
  </si>
  <si>
    <t>Parcela Carro</t>
  </si>
  <si>
    <t>Energia Fernanda</t>
  </si>
  <si>
    <t>Seguro de Vida</t>
  </si>
  <si>
    <t>07/12</t>
  </si>
  <si>
    <t>02/02</t>
  </si>
  <si>
    <t>03/04</t>
  </si>
  <si>
    <t>04/12</t>
  </si>
  <si>
    <t>01/09</t>
  </si>
  <si>
    <t>Gril churrasqueira</t>
  </si>
  <si>
    <t>ptlove klauss e freya</t>
  </si>
  <si>
    <t>melimais +</t>
  </si>
  <si>
    <t>seguro</t>
  </si>
  <si>
    <t>Samsung</t>
  </si>
  <si>
    <t>pg *exi imp expebrasiliabr</t>
  </si>
  <si>
    <t>kazzu azzee calçados</t>
  </si>
  <si>
    <t>Airfryer</t>
  </si>
  <si>
    <t>Panelas</t>
  </si>
  <si>
    <t>Beto</t>
  </si>
  <si>
    <t>Lia</t>
  </si>
  <si>
    <t>21/21</t>
  </si>
  <si>
    <t>03/11</t>
  </si>
  <si>
    <t>08/12</t>
  </si>
  <si>
    <t>07/09</t>
  </si>
  <si>
    <t>05/12</t>
  </si>
  <si>
    <t>exmae helena</t>
  </si>
  <si>
    <t>bicos do carro</t>
  </si>
  <si>
    <t>pix parcelado multas</t>
  </si>
  <si>
    <t>Gasolina</t>
  </si>
  <si>
    <t>CELTA GOIANIA</t>
  </si>
  <si>
    <t>01/02</t>
  </si>
  <si>
    <t>Carrefour A</t>
  </si>
  <si>
    <t>SETEMBRO</t>
  </si>
  <si>
    <t>OUTUBRO</t>
  </si>
  <si>
    <t>02/09</t>
  </si>
  <si>
    <t>04/11</t>
  </si>
  <si>
    <t>03/09</t>
  </si>
  <si>
    <t>05/11</t>
  </si>
  <si>
    <t>06/12</t>
  </si>
  <si>
    <t>DEZEMBRO</t>
  </si>
  <si>
    <t>MOVEMBRO</t>
  </si>
  <si>
    <t>04/09</t>
  </si>
  <si>
    <t>06/11</t>
  </si>
  <si>
    <t>JANEIRO</t>
  </si>
  <si>
    <t>05/09</t>
  </si>
  <si>
    <t>07/11</t>
  </si>
  <si>
    <t>09/12</t>
  </si>
  <si>
    <t>02/06</t>
  </si>
  <si>
    <t>03/03</t>
  </si>
  <si>
    <t>-</t>
  </si>
  <si>
    <t>7</t>
  </si>
  <si>
    <t>01/03</t>
  </si>
  <si>
    <t>CABELO MÃE</t>
  </si>
  <si>
    <t>09/15</t>
  </si>
  <si>
    <t>SHAMPOO E CREME</t>
  </si>
  <si>
    <t>CONSULTA HELENA</t>
  </si>
  <si>
    <t>CARTÃO</t>
  </si>
  <si>
    <t>09</t>
  </si>
  <si>
    <t>Caoa Chery  Porto Alegporto Alegrebra</t>
  </si>
  <si>
    <t>99food *62.688.066 Claporto Alegrebra</t>
  </si>
  <si>
    <t>99app       *99appsao Paulobra</t>
  </si>
  <si>
    <t>Amazon Br   *Amazon Brsao Paulobra</t>
  </si>
  <si>
    <t>Jim.com* Dala Juice Lgoianiabra</t>
  </si>
  <si>
    <t>Openai *Chatgpt Subscrsan Franciscousa</t>
  </si>
  <si>
    <t>Iof Internacional - Openai *Chatgpt Subscrsan Franciscousa</t>
  </si>
  <si>
    <t>Posto Agronomiaporto Alegrebra</t>
  </si>
  <si>
    <t>Sabhora Restaurantegoianiabra</t>
  </si>
  <si>
    <t>Rafas Food Park Inflavgoianiabra</t>
  </si>
  <si>
    <t>Lanchonete Tia Joanaclaudinapolisbra</t>
  </si>
  <si>
    <t>Auto Posto Lobaojussarabra</t>
  </si>
  <si>
    <t>Supermercado Barataojussarabra</t>
  </si>
  <si>
    <t>99food *47.357.536 Alaporto Alegrebra</t>
  </si>
  <si>
    <t>Droga Certajussarabra</t>
  </si>
  <si>
    <t>Emporiodasbebidasjussarabra</t>
  </si>
  <si>
    <t>Reginaldopercosascobra</t>
  </si>
  <si>
    <t>Osorno Comercio A Vareporto Alegrebra</t>
  </si>
  <si>
    <t>Petroenge Comercio Degoianiabra</t>
  </si>
  <si>
    <t>Scpestacionamentogoianiabra</t>
  </si>
  <si>
    <t>Johnny Joy Milk Shakegoianiabra</t>
  </si>
  <si>
    <t>Ri Happygoianiabra</t>
  </si>
  <si>
    <t>Shopee*pedro Henriqueguarulhosbra</t>
  </si>
  <si>
    <t>Shopee *Huizaibrsao Paulobra</t>
  </si>
  <si>
    <t>Mendonca Foods Restaurporto Alegrebra</t>
  </si>
  <si>
    <t>Dht Mini-marketporto Alegrebra</t>
  </si>
  <si>
    <t>Latam Allegr*lshwncsao Paulobra</t>
  </si>
  <si>
    <t>S2p*2purificattaimaraubra</t>
  </si>
  <si>
    <t>Dl*bookingcom401uppsalabra</t>
  </si>
  <si>
    <t>Azul Linhas Aereas Brasilbaureribr</t>
  </si>
  <si>
    <t>Cestto Protasioporto Alegrebra</t>
  </si>
  <si>
    <t>Jim.com* Jose Pereiraporto Alegrebra</t>
  </si>
  <si>
    <t>Amazon Kindle Unltdsao Paulobra</t>
  </si>
  <si>
    <t>Google Crunchyroll Ansao Paulobra</t>
  </si>
  <si>
    <t>Vonny Cosmeticosporto Alegrebra</t>
  </si>
  <si>
    <t>99food *64.434.007 Rafporto Alegrebra</t>
  </si>
  <si>
    <t>99food *99foodsao Paulobra</t>
  </si>
  <si>
    <t>Pg *Dry Company Bbarueribra</t>
  </si>
  <si>
    <t>Carrefour Poa 7porto Alegrebra</t>
  </si>
  <si>
    <t>Farmacia De Manipulacsao Jose Dosbra</t>
  </si>
  <si>
    <t>Yelumseg Parc9sao Paulobra</t>
  </si>
  <si>
    <t>Ifd*ifood Clubosascobra</t>
  </si>
  <si>
    <t>Shopping De Carnes Proporto Alegrebra</t>
  </si>
  <si>
    <t>Amazonmktplc*amazon Brsao Paulobra</t>
  </si>
  <si>
    <t>Posto Br3porto Alegrebra</t>
  </si>
  <si>
    <t>Cobasi Poa Central Parporto Alegrebra</t>
  </si>
  <si>
    <t>Bmb    *Equatorialporto Alegrebra</t>
  </si>
  <si>
    <t>02/05</t>
  </si>
  <si>
    <t>Pix Departamento Estadual De Transito</t>
  </si>
  <si>
    <t>Nuuvem      *Nuuvemrio De Janeirbra</t>
  </si>
  <si>
    <t>Formulaanimalgoianiabra</t>
  </si>
  <si>
    <t>Farmacia Sao Joaoporto Alegrebra</t>
  </si>
  <si>
    <t>Mercadolivre*mercadoljaragua Do Sbra</t>
  </si>
  <si>
    <t>Pet Love Dog Herosao Paulobra</t>
  </si>
  <si>
    <t>Cobasisao Paulobra</t>
  </si>
  <si>
    <t>Airbnb * Hm4b8mnya4sao Paulobra</t>
  </si>
  <si>
    <t>Airbnb * Hmb3efpcntsao Paulobra</t>
  </si>
  <si>
    <t>Azul Linhas Upz3kqbarueribra</t>
  </si>
  <si>
    <t>Dcoremoveisgoianiabra</t>
  </si>
  <si>
    <t>08/21</t>
  </si>
  <si>
    <t>Samsung No Itausao Paulobra</t>
  </si>
  <si>
    <t>08/10</t>
  </si>
  <si>
    <t>Amazon Brsao Paulobra</t>
  </si>
  <si>
    <t>09/09</t>
  </si>
  <si>
    <t>CRECHE</t>
  </si>
  <si>
    <t>Kids</t>
  </si>
  <si>
    <t>Detalhes do Soma de Valor - Categoria: Lia, Cota: AB</t>
  </si>
  <si>
    <t>Mercadolivre*Compras Carro</t>
  </si>
  <si>
    <t>AMAZON  CASA</t>
  </si>
  <si>
    <t>Ghost</t>
  </si>
  <si>
    <t>canetas</t>
  </si>
  <si>
    <t>passador de slide</t>
  </si>
  <si>
    <t>Mordedores</t>
  </si>
  <si>
    <t>extensão</t>
  </si>
  <si>
    <t>remédio ouvido</t>
  </si>
  <si>
    <t>comida japonesa</t>
  </si>
  <si>
    <t>Detalhes do Soma de Valor - Categoria: Dogs, Cota: AB</t>
  </si>
  <si>
    <t>Detalhes do Soma de Valor - Categoria: Carro, Cota: AB</t>
  </si>
  <si>
    <t>uber</t>
  </si>
  <si>
    <t>remédio fernanda</t>
  </si>
  <si>
    <t>remedio beto</t>
  </si>
  <si>
    <t>02/03</t>
  </si>
  <si>
    <t>03/06</t>
  </si>
  <si>
    <t>10/12</t>
  </si>
  <si>
    <t>10/15</t>
  </si>
  <si>
    <t>09/18</t>
  </si>
  <si>
    <t>06/10</t>
  </si>
  <si>
    <t>08/09</t>
  </si>
  <si>
    <t>OUTROS</t>
  </si>
  <si>
    <t>15</t>
  </si>
  <si>
    <t>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</si>
</sst>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"/>
    <numFmt numFmtId="167" formatCode="[$R$-416]\ #,##0.00"/>
  </numFmts>
  <fonts count="60" x14ac:knownFonts="1">
    <font>
      <sz val="11"/>
      <color theme="1" tint="4.9989318521683403E-2"/>
      <name val="Century Gothic"/>
      <family val="1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1"/>
      <scheme val="major"/>
    </font>
    <font>
      <sz val="32"/>
      <color theme="0"/>
      <name val="Century Gothic"/>
      <family val="1"/>
      <scheme val="major"/>
    </font>
    <font>
      <sz val="10"/>
      <color theme="1" tint="4.9989318521683403E-2"/>
      <name val="Century Gothic"/>
      <family val="1"/>
      <scheme val="minor"/>
    </font>
    <font>
      <b/>
      <sz val="11"/>
      <color rgb="FF3F3F3F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4"/>
      <color theme="8" tint="-0.2499465926084170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11"/>
      <color theme="1"/>
      <name val="Century Gothic"/>
      <family val="1"/>
      <scheme val="minor"/>
    </font>
    <font>
      <b/>
      <sz val="28"/>
      <color theme="0"/>
      <name val="Century Gothic"/>
      <family val="1"/>
      <scheme val="major"/>
    </font>
    <font>
      <b/>
      <sz val="14"/>
      <color theme="7" tint="-0.499984740745262"/>
      <name val="Century Gothic"/>
      <family val="1"/>
      <scheme val="major"/>
    </font>
    <font>
      <sz val="12"/>
      <color theme="1"/>
      <name val="Century Gothic"/>
      <family val="1"/>
      <scheme val="minor"/>
    </font>
    <font>
      <sz val="24"/>
      <color theme="7" tint="-0.499984740745262"/>
      <name val="Century Gothic"/>
      <family val="2"/>
      <scheme val="minor"/>
    </font>
    <font>
      <b/>
      <sz val="40"/>
      <color theme="0"/>
      <name val="Century Gothic"/>
      <family val="1"/>
      <scheme val="minor"/>
    </font>
    <font>
      <sz val="11"/>
      <color theme="1" tint="4.9989318521683403E-2"/>
      <name val="Century Gothic"/>
      <family val="1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u/>
      <sz val="11"/>
      <color theme="1" tint="4.9989318521683403E-2"/>
      <name val="Century Gothic"/>
      <family val="1"/>
      <scheme val="minor"/>
    </font>
    <font>
      <b/>
      <sz val="14"/>
      <color theme="7" tint="-0.499984740745262"/>
      <name val="Century Gothic"/>
      <family val="2"/>
      <scheme val="major"/>
    </font>
    <font>
      <b/>
      <sz val="26"/>
      <color theme="0"/>
      <name val="Century Gothic"/>
      <family val="1"/>
      <scheme val="major"/>
    </font>
    <font>
      <b/>
      <sz val="20"/>
      <color theme="0"/>
      <name val="Century Gothic"/>
      <family val="1"/>
      <scheme val="major"/>
    </font>
    <font>
      <b/>
      <sz val="36"/>
      <color theme="0"/>
      <name val="Century Gothic"/>
      <family val="1"/>
      <scheme val="minor"/>
    </font>
    <font>
      <b/>
      <sz val="11"/>
      <color theme="1"/>
      <name val="Century Gothic"/>
      <family val="1"/>
      <scheme val="minor"/>
    </font>
    <font>
      <sz val="12"/>
      <color rgb="FF000000"/>
      <name val="Century Gothic"/>
      <family val="1"/>
    </font>
    <font>
      <b/>
      <sz val="22"/>
      <color theme="0"/>
      <name val="Century Gothic"/>
      <family val="1"/>
      <scheme val="minor"/>
    </font>
    <font>
      <b/>
      <sz val="14"/>
      <color theme="0"/>
      <name val="Century Gothic"/>
      <family val="1"/>
      <scheme val="minor"/>
    </font>
    <font>
      <b/>
      <sz val="12"/>
      <color theme="0"/>
      <name val="Century Gothic"/>
      <family val="2"/>
      <scheme val="minor"/>
    </font>
    <font>
      <sz val="8"/>
      <name val="Century Gothic"/>
      <family val="1"/>
      <scheme val="minor"/>
    </font>
    <font>
      <b/>
      <sz val="24"/>
      <color rgb="FFF38BA0"/>
      <name val="Century Gothic"/>
      <family val="1"/>
      <scheme val="major"/>
    </font>
    <font>
      <sz val="11"/>
      <color rgb="FFF38BA0"/>
      <name val="Century Gothic"/>
      <family val="1"/>
      <scheme val="minor"/>
    </font>
    <font>
      <u/>
      <sz val="11"/>
      <color rgb="FFF38BA0"/>
      <name val="Century Gothic"/>
      <family val="1"/>
      <scheme val="minor"/>
    </font>
    <font>
      <sz val="12"/>
      <name val="Century Gothic"/>
      <family val="1"/>
      <scheme val="minor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sz val="11"/>
      <color theme="1" tint="4.9989318521683403E-2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name val="Century Gothic"/>
      <family val="2"/>
    </font>
    <font>
      <sz val="12"/>
      <name val="Century Gothic"/>
      <family val="2"/>
      <scheme val="minor"/>
    </font>
    <font>
      <b/>
      <sz val="20"/>
      <name val="Century Gothic"/>
      <family val="2"/>
      <scheme val="major"/>
    </font>
    <font>
      <sz val="12"/>
      <name val="Century Gothic"/>
    </font>
    <font>
      <b/>
      <sz val="18"/>
      <color rgb="FFFF0000"/>
      <name val="Century Gothic"/>
      <family val="1"/>
      <scheme val="major"/>
    </font>
    <font>
      <b/>
      <sz val="12"/>
      <color theme="1"/>
      <name val="Century Gothic"/>
      <family val="2"/>
      <scheme val="minor"/>
    </font>
    <font>
      <b/>
      <sz val="12"/>
      <color theme="1"/>
      <name val="Century Gothic"/>
      <family val="1"/>
      <scheme val="minor"/>
    </font>
    <font>
      <b/>
      <sz val="12"/>
      <name val="Century Gothic"/>
      <family val="2"/>
      <scheme val="minor"/>
    </font>
    <font>
      <b/>
      <sz val="11"/>
      <color theme="1" tint="4.9989318521683403E-2"/>
      <name val="Century Gothic"/>
      <family val="2"/>
      <scheme val="minor"/>
    </font>
    <font>
      <b/>
      <sz val="18"/>
      <color rgb="FFF38BA0"/>
      <name val="Century Gothic"/>
      <family val="2"/>
      <scheme val="major"/>
    </font>
    <font>
      <sz val="12"/>
      <name val="Century Gothic"/>
      <scheme val="minor"/>
    </font>
    <font>
      <b/>
      <sz val="11"/>
      <color theme="1" tint="4.9989318521683403E-2"/>
      <name val="Century Gothic"/>
      <family val="1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8BA0"/>
        <bgColor indexed="64"/>
      </patternFill>
    </fill>
    <fill>
      <patternFill patternType="solid">
        <fgColor rgb="FFEDF6E5"/>
        <bgColor indexed="64"/>
      </patternFill>
    </fill>
    <fill>
      <patternFill patternType="solid">
        <fgColor rgb="FFB5EAEA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5"/>
      </left>
      <right/>
      <top style="medium">
        <color theme="7"/>
      </top>
      <bottom style="medium">
        <color theme="7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theme="0"/>
      </top>
      <bottom style="thick">
        <color rgb="FFFFFFF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theme="0"/>
      </top>
      <bottom style="thick">
        <color rgb="FFFFFFFF"/>
      </bottom>
      <diagonal/>
    </border>
    <border>
      <left/>
      <right style="medium">
        <color indexed="64"/>
      </right>
      <top style="thick">
        <color theme="0"/>
      </top>
      <bottom style="thick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38BA0"/>
      </top>
      <bottom/>
      <diagonal/>
    </border>
    <border>
      <left style="thin">
        <color rgb="FFF38BA0"/>
      </left>
      <right/>
      <top/>
      <bottom/>
      <diagonal/>
    </border>
    <border>
      <left/>
      <right style="thin">
        <color rgb="FFF38BA0"/>
      </right>
      <top/>
      <bottom/>
      <diagonal/>
    </border>
    <border>
      <left/>
      <right/>
      <top/>
      <bottom style="thin">
        <color rgb="FFF38BA0"/>
      </bottom>
      <diagonal/>
    </border>
    <border>
      <left/>
      <right style="thin">
        <color rgb="FFF38BA0"/>
      </right>
      <top style="thin">
        <color rgb="FFF38BA0"/>
      </top>
      <bottom/>
      <diagonal/>
    </border>
    <border>
      <left/>
      <right style="thin">
        <color rgb="FFF38BA0"/>
      </right>
      <top/>
      <bottom style="thin">
        <color rgb="FFF38BA0"/>
      </bottom>
      <diagonal/>
    </border>
  </borders>
  <cellStyleXfs count="49">
    <xf numFmtId="0" fontId="0" fillId="0" borderId="0">
      <alignment horizontal="left" vertical="center" wrapText="1" indent="1"/>
    </xf>
    <xf numFmtId="9" fontId="8" fillId="0" borderId="5" applyFill="0" applyProtection="0">
      <alignment horizontal="center" vertical="center"/>
    </xf>
    <xf numFmtId="0" fontId="4" fillId="4" borderId="3" applyNumberFormat="0" applyProtection="0">
      <alignment horizontal="left" vertical="center" indent="3"/>
    </xf>
    <xf numFmtId="0" fontId="3" fillId="2" borderId="2" applyNumberFormat="0" applyProtection="0">
      <alignment horizontal="center" vertical="center"/>
    </xf>
    <xf numFmtId="0" fontId="3" fillId="5" borderId="4" applyNumberFormat="0" applyProtection="0">
      <alignment horizontal="center" vertical="center"/>
    </xf>
    <xf numFmtId="0" fontId="3" fillId="5" borderId="0" applyNumberFormat="0" applyBorder="0" applyProtection="0">
      <alignment horizontal="left" vertical="center" indent="1"/>
    </xf>
    <xf numFmtId="166" fontId="5" fillId="0" borderId="0" applyFont="0" applyFill="0" applyBorder="0" applyProtection="0">
      <alignment horizontal="right" vertical="center" indent="1"/>
    </xf>
    <xf numFmtId="166" fontId="5" fillId="0" borderId="0" applyFont="0" applyFill="0" applyBorder="0" applyProtection="0">
      <alignment horizontal="right" vertical="center"/>
    </xf>
    <xf numFmtId="0" fontId="9" fillId="0" borderId="1" applyNumberFormat="0" applyFont="0" applyAlignment="0" applyProtection="0"/>
    <xf numFmtId="0" fontId="6" fillId="3" borderId="6" applyNumberFormat="0" applyFont="0" applyFill="0" applyAlignment="0" applyProtection="0"/>
    <xf numFmtId="0" fontId="7" fillId="4" borderId="0" applyNumberFormat="0" applyBorder="0" applyProtection="0">
      <alignment horizontal="right" vertical="top" indent="10"/>
    </xf>
    <xf numFmtId="0" fontId="10" fillId="0" borderId="0" applyNumberFormat="0" applyFill="0" applyBorder="0" applyAlignment="0">
      <alignment horizontal="left" vertical="center" wrapText="1" indent="1"/>
    </xf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3" borderId="11" applyNumberFormat="0" applyAlignment="0" applyProtection="0"/>
    <xf numFmtId="0" fontId="23" fillId="0" borderId="12" applyNumberFormat="0" applyFill="0" applyAlignment="0" applyProtection="0"/>
    <xf numFmtId="0" fontId="24" fillId="10" borderId="13" applyNumberFormat="0" applyAlignment="0" applyProtection="0"/>
    <xf numFmtId="0" fontId="25" fillId="0" borderId="0" applyNumberFormat="0" applyFill="0" applyBorder="0" applyAlignment="0" applyProtection="0"/>
    <xf numFmtId="0" fontId="17" fillId="11" borderId="14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5" applyNumberFormat="0" applyFill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</cellStyleXfs>
  <cellXfs count="126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9"/>
    </xf>
    <xf numFmtId="0" fontId="11" fillId="0" borderId="0" xfId="11" applyFo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3" fillId="0" borderId="0" xfId="4" applyFill="1" applyBorder="1">
      <alignment horizontal="center" vertical="center"/>
    </xf>
    <xf numFmtId="0" fontId="0" fillId="0" borderId="0" xfId="0" applyAlignment="1">
      <alignment horizontal="right" vertical="center" wrapText="1" indent="1"/>
    </xf>
    <xf numFmtId="0" fontId="3" fillId="0" borderId="0" xfId="4" applyFill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9" fontId="15" fillId="0" borderId="7" xfId="1" applyFont="1" applyFill="1" applyBorder="1" applyAlignment="1">
      <alignment horizontal="right" vertical="center" indent="1"/>
    </xf>
    <xf numFmtId="0" fontId="14" fillId="0" borderId="0" xfId="0" applyFont="1">
      <alignment horizontal="left" vertical="center" wrapText="1" indent="1"/>
    </xf>
    <xf numFmtId="166" fontId="0" fillId="0" borderId="8" xfId="6" applyFont="1" applyBorder="1">
      <alignment horizontal="right" vertical="center" indent="1"/>
    </xf>
    <xf numFmtId="166" fontId="13" fillId="6" borderId="4" xfId="6" applyFont="1" applyFill="1" applyBorder="1">
      <alignment horizontal="right" vertical="center" indent="1"/>
    </xf>
    <xf numFmtId="166" fontId="14" fillId="0" borderId="0" xfId="6" applyFont="1" applyFill="1" applyBorder="1">
      <alignment horizontal="right" vertical="center" indent="1"/>
    </xf>
    <xf numFmtId="0" fontId="29" fillId="0" borderId="0" xfId="0" applyFont="1">
      <alignment horizontal="left" vertical="center" wrapText="1" indent="1"/>
    </xf>
    <xf numFmtId="0" fontId="29" fillId="0" borderId="0" xfId="0" applyFont="1" applyAlignment="1">
      <alignment horizontal="left" vertical="center" indent="19"/>
    </xf>
    <xf numFmtId="0" fontId="17" fillId="0" borderId="8" xfId="8" applyFont="1" applyBorder="1" applyAlignment="1">
      <alignment horizontal="left" vertical="center" indent="1"/>
    </xf>
    <xf numFmtId="166" fontId="17" fillId="0" borderId="8" xfId="6" applyFont="1" applyBorder="1">
      <alignment horizontal="right" vertical="center" indent="1"/>
    </xf>
    <xf numFmtId="0" fontId="0" fillId="0" borderId="0" xfId="0" applyAlignment="1">
      <alignment horizontal="center" vertical="center" wrapText="1"/>
    </xf>
    <xf numFmtId="166" fontId="14" fillId="0" borderId="0" xfId="6" applyFont="1" applyBorder="1">
      <alignment horizontal="right" vertical="center" indent="1"/>
    </xf>
    <xf numFmtId="166" fontId="14" fillId="0" borderId="8" xfId="6" applyFont="1" applyBorder="1">
      <alignment horizontal="right" vertical="center" indent="1"/>
    </xf>
    <xf numFmtId="44" fontId="0" fillId="0" borderId="0" xfId="0" applyNumberFormat="1">
      <alignment horizontal="left" vertical="center" wrapText="1" indent="1"/>
    </xf>
    <xf numFmtId="0" fontId="16" fillId="35" borderId="9" xfId="2" applyFont="1" applyFill="1" applyBorder="1" applyAlignment="1">
      <alignment horizontal="left" vertical="center" indent="1"/>
    </xf>
    <xf numFmtId="0" fontId="13" fillId="36" borderId="10" xfId="4" applyFont="1" applyFill="1" applyBorder="1" applyAlignment="1">
      <alignment horizontal="left" vertical="center" indent="1"/>
    </xf>
    <xf numFmtId="0" fontId="0" fillId="36" borderId="10" xfId="0" applyFill="1" applyBorder="1" applyAlignment="1">
      <alignment horizontal="left" vertical="center" indent="2"/>
    </xf>
    <xf numFmtId="0" fontId="30" fillId="36" borderId="4" xfId="5" applyFont="1" applyFill="1" applyBorder="1">
      <alignment horizontal="left" vertical="center" indent="1"/>
    </xf>
    <xf numFmtId="0" fontId="14" fillId="36" borderId="0" xfId="0" applyFont="1" applyFill="1">
      <alignment horizontal="left" vertical="center" wrapText="1" indent="1"/>
    </xf>
    <xf numFmtId="166" fontId="14" fillId="36" borderId="0" xfId="6" applyFont="1" applyFill="1" applyBorder="1">
      <alignment horizontal="right" vertical="center" indent="1"/>
    </xf>
    <xf numFmtId="0" fontId="14" fillId="38" borderId="0" xfId="0" applyFont="1" applyFill="1" applyAlignment="1">
      <alignment horizontal="left" vertical="center" indent="1"/>
    </xf>
    <xf numFmtId="0" fontId="14" fillId="38" borderId="0" xfId="0" applyFont="1" applyFill="1" applyAlignment="1">
      <alignment horizontal="right" vertical="center" indent="2"/>
    </xf>
    <xf numFmtId="0" fontId="0" fillId="38" borderId="10" xfId="0" applyFill="1" applyBorder="1" applyAlignment="1">
      <alignment horizontal="left" vertical="center" indent="2"/>
    </xf>
    <xf numFmtId="0" fontId="34" fillId="38" borderId="16" xfId="0" applyFont="1" applyFill="1" applyBorder="1" applyAlignment="1">
      <alignment horizontal="left" vertical="center" indent="2"/>
    </xf>
    <xf numFmtId="0" fontId="32" fillId="35" borderId="0" xfId="3" applyFont="1" applyFill="1" applyBorder="1">
      <alignment horizontal="center" vertical="center"/>
    </xf>
    <xf numFmtId="44" fontId="17" fillId="36" borderId="17" xfId="9" applyNumberFormat="1" applyFont="1" applyFill="1" applyBorder="1" applyAlignment="1">
      <alignment vertical="center"/>
    </xf>
    <xf numFmtId="166" fontId="35" fillId="0" borderId="0" xfId="6" applyFont="1" applyFill="1" applyBorder="1" applyAlignment="1">
      <alignment horizontal="center" vertical="center"/>
    </xf>
    <xf numFmtId="0" fontId="14" fillId="38" borderId="18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 indent="1"/>
    </xf>
    <xf numFmtId="0" fontId="0" fillId="0" borderId="0" xfId="0" applyAlignment="1">
      <alignment horizontal="center" vertical="center" wrapText="1" indent="1"/>
    </xf>
    <xf numFmtId="0" fontId="0" fillId="35" borderId="0" xfId="0" applyFill="1">
      <alignment horizontal="left" vertical="center" wrapText="1" indent="1"/>
    </xf>
    <xf numFmtId="166" fontId="14" fillId="36" borderId="0" xfId="6" applyFont="1" applyFill="1">
      <alignment horizontal="right" vertical="center" indent="1"/>
    </xf>
    <xf numFmtId="0" fontId="36" fillId="35" borderId="9" xfId="2" applyFont="1" applyFill="1" applyBorder="1" applyAlignment="1">
      <alignment horizontal="center" vertical="center"/>
    </xf>
    <xf numFmtId="166" fontId="37" fillId="35" borderId="0" xfId="2" applyNumberFormat="1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>
      <alignment horizontal="left" vertical="center" wrapText="1" indent="1"/>
    </xf>
    <xf numFmtId="166" fontId="38" fillId="38" borderId="20" xfId="6" applyFont="1" applyFill="1" applyBorder="1">
      <alignment horizontal="right" vertical="center" indent="1"/>
    </xf>
    <xf numFmtId="0" fontId="38" fillId="38" borderId="0" xfId="0" applyFont="1" applyFill="1">
      <alignment horizontal="left" vertical="center" wrapText="1" indent="1"/>
    </xf>
    <xf numFmtId="0" fontId="38" fillId="35" borderId="21" xfId="0" applyFont="1" applyFill="1" applyBorder="1" applyAlignment="1">
      <alignment horizontal="center" vertical="center" wrapText="1"/>
    </xf>
    <xf numFmtId="0" fontId="38" fillId="35" borderId="21" xfId="0" applyFont="1" applyFill="1" applyBorder="1">
      <alignment horizontal="left" vertical="center" wrapText="1" indent="1"/>
    </xf>
    <xf numFmtId="0" fontId="35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32" fillId="35" borderId="0" xfId="3" applyNumberFormat="1" applyFont="1" applyFill="1" applyBorder="1">
      <alignment horizontal="center" vertical="center"/>
    </xf>
    <xf numFmtId="166" fontId="14" fillId="38" borderId="18" xfId="0" applyNumberFormat="1" applyFont="1" applyFill="1" applyBorder="1" applyAlignment="1">
      <alignment horizontal="center" vertical="center" wrapText="1"/>
    </xf>
    <xf numFmtId="166" fontId="35" fillId="0" borderId="0" xfId="0" applyNumberFormat="1" applyFont="1" applyAlignment="1">
      <alignment horizontal="center" vertical="center" wrapText="1"/>
    </xf>
    <xf numFmtId="49" fontId="14" fillId="38" borderId="0" xfId="0" applyNumberFormat="1" applyFont="1" applyFill="1" applyAlignment="1">
      <alignment horizontal="center" vertical="center" indent="1"/>
    </xf>
    <xf numFmtId="0" fontId="38" fillId="35" borderId="22" xfId="0" applyFont="1" applyFill="1" applyBorder="1" applyAlignment="1">
      <alignment horizontal="center" vertical="center" wrapText="1"/>
    </xf>
    <xf numFmtId="166" fontId="40" fillId="35" borderId="0" xfId="3" applyNumberFormat="1" applyFont="1" applyFill="1" applyBorder="1">
      <alignment horizontal="center" vertical="center"/>
    </xf>
    <xf numFmtId="0" fontId="41" fillId="0" borderId="0" xfId="0" applyFont="1">
      <alignment horizontal="left" vertical="center" wrapText="1" indent="1"/>
    </xf>
    <xf numFmtId="0" fontId="42" fillId="0" borderId="0" xfId="0" applyFont="1">
      <alignment horizontal="left" vertical="center" wrapText="1" indent="1"/>
    </xf>
    <xf numFmtId="0" fontId="0" fillId="0" borderId="0" xfId="0" pivotButton="1">
      <alignment horizontal="left" vertical="center" wrapText="1" indent="1"/>
    </xf>
    <xf numFmtId="49" fontId="44" fillId="0" borderId="0" xfId="0" applyNumberFormat="1" applyFont="1" applyAlignment="1">
      <alignment horizontal="center" vertical="center" wrapText="1" indent="1"/>
    </xf>
    <xf numFmtId="49" fontId="45" fillId="0" borderId="0" xfId="0" applyNumberFormat="1" applyFont="1" applyAlignment="1">
      <alignment horizontal="center" vertical="center" wrapText="1" indent="1"/>
    </xf>
    <xf numFmtId="49" fontId="46" fillId="0" borderId="0" xfId="0" applyNumberFormat="1" applyFont="1" applyAlignment="1">
      <alignment horizontal="center" vertical="center" wrapText="1" indent="1"/>
    </xf>
    <xf numFmtId="49" fontId="47" fillId="38" borderId="19" xfId="0" applyNumberFormat="1" applyFont="1" applyFill="1" applyBorder="1" applyAlignment="1">
      <alignment horizontal="center" vertical="center" indent="1"/>
    </xf>
    <xf numFmtId="49" fontId="49" fillId="0" borderId="0" xfId="6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166" fontId="48" fillId="0" borderId="0" xfId="6" applyFont="1" applyFill="1" applyBorder="1" applyAlignment="1">
      <alignment horizontal="center" vertical="center"/>
    </xf>
    <xf numFmtId="166" fontId="48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166" fontId="50" fillId="35" borderId="0" xfId="3" applyNumberFormat="1" applyFont="1" applyFill="1" applyBorder="1">
      <alignment horizontal="center" vertical="center"/>
    </xf>
    <xf numFmtId="166" fontId="49" fillId="38" borderId="18" xfId="0" applyNumberFormat="1" applyFont="1" applyFill="1" applyBorder="1" applyAlignment="1">
      <alignment horizontal="center" vertical="center" wrapText="1"/>
    </xf>
    <xf numFmtId="166" fontId="51" fillId="0" borderId="0" xfId="0" applyNumberFormat="1" applyFont="1" applyAlignment="1">
      <alignment horizontal="center" vertical="center" wrapText="1"/>
    </xf>
    <xf numFmtId="166" fontId="52" fillId="35" borderId="0" xfId="3" applyNumberFormat="1" applyFont="1" applyFill="1" applyBorder="1">
      <alignment horizontal="center" vertical="center"/>
    </xf>
    <xf numFmtId="2" fontId="0" fillId="0" borderId="0" xfId="0" applyNumberFormat="1" applyAlignment="1">
      <alignment horizontal="center" vertical="center" wrapText="1" indent="1"/>
    </xf>
    <xf numFmtId="49" fontId="35" fillId="0" borderId="0" xfId="0" applyNumberFormat="1" applyFont="1" applyAlignment="1">
      <alignment horizontal="center" vertical="center" wrapText="1" indent="1"/>
    </xf>
    <xf numFmtId="49" fontId="54" fillId="38" borderId="16" xfId="0" applyNumberFormat="1" applyFont="1" applyFill="1" applyBorder="1" applyAlignment="1">
      <alignment horizontal="center" vertical="center" indent="1"/>
    </xf>
    <xf numFmtId="49" fontId="54" fillId="38" borderId="16" xfId="0" applyNumberFormat="1" applyFont="1" applyFill="1" applyBorder="1" applyAlignment="1">
      <alignment horizontal="center" vertical="center"/>
    </xf>
    <xf numFmtId="0" fontId="54" fillId="38" borderId="1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53" fillId="38" borderId="26" xfId="0" applyNumberFormat="1" applyFont="1" applyFill="1" applyBorder="1" applyAlignment="1">
      <alignment horizontal="center" vertical="center" indent="1"/>
    </xf>
    <xf numFmtId="166" fontId="55" fillId="38" borderId="27" xfId="0" applyNumberFormat="1" applyFont="1" applyFill="1" applyBorder="1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 indent="1"/>
    </xf>
    <xf numFmtId="49" fontId="43" fillId="0" borderId="0" xfId="6" applyNumberFormat="1" applyFont="1" applyBorder="1" applyAlignment="1">
      <alignment horizontal="center" vertical="center"/>
    </xf>
    <xf numFmtId="166" fontId="48" fillId="0" borderId="29" xfId="0" applyNumberFormat="1" applyFont="1" applyBorder="1" applyAlignment="1">
      <alignment horizontal="center" vertical="center" wrapText="1"/>
    </xf>
    <xf numFmtId="49" fontId="44" fillId="0" borderId="30" xfId="0" applyNumberFormat="1" applyFont="1" applyBorder="1" applyAlignment="1">
      <alignment horizontal="center" vertical="center" wrapText="1" indent="1"/>
    </xf>
    <xf numFmtId="49" fontId="35" fillId="0" borderId="31" xfId="0" applyNumberFormat="1" applyFont="1" applyBorder="1" applyAlignment="1">
      <alignment horizontal="center" vertical="center" wrapText="1" indent="1"/>
    </xf>
    <xf numFmtId="49" fontId="43" fillId="0" borderId="31" xfId="6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6" fontId="48" fillId="0" borderId="32" xfId="0" applyNumberFormat="1" applyFont="1" applyBorder="1" applyAlignment="1">
      <alignment horizontal="center" vertical="center" wrapText="1"/>
    </xf>
    <xf numFmtId="166" fontId="56" fillId="39" borderId="25" xfId="0" applyNumberFormat="1" applyFont="1" applyFill="1" applyBorder="1">
      <alignment horizontal="left" vertical="center" wrapText="1" indent="1"/>
    </xf>
    <xf numFmtId="49" fontId="9" fillId="0" borderId="0" xfId="0" applyNumberFormat="1" applyFont="1" applyAlignment="1">
      <alignment horizontal="center" vertical="center" wrapText="1"/>
    </xf>
    <xf numFmtId="49" fontId="50" fillId="35" borderId="0" xfId="3" applyNumberFormat="1" applyFont="1" applyFill="1" applyBorder="1">
      <alignment horizontal="center" vertical="center"/>
    </xf>
    <xf numFmtId="49" fontId="49" fillId="38" borderId="0" xfId="0" applyNumberFormat="1" applyFont="1" applyFill="1" applyAlignment="1">
      <alignment horizontal="center" vertical="center"/>
    </xf>
    <xf numFmtId="49" fontId="49" fillId="0" borderId="0" xfId="6" applyNumberFormat="1" applyFont="1" applyFill="1" applyBorder="1" applyAlignment="1">
      <alignment horizontal="center" vertical="center"/>
    </xf>
    <xf numFmtId="0" fontId="10" fillId="35" borderId="0" xfId="0" applyFont="1" applyFill="1">
      <alignment horizontal="left" vertical="center" wrapText="1" indent="1"/>
    </xf>
    <xf numFmtId="0" fontId="10" fillId="35" borderId="0" xfId="0" applyFont="1" applyFill="1" applyAlignment="1">
      <alignment horizontal="left" vertical="center" wrapText="1"/>
    </xf>
    <xf numFmtId="166" fontId="10" fillId="35" borderId="0" xfId="0" applyNumberFormat="1" applyFont="1" applyFill="1">
      <alignment horizontal="left" vertical="center" wrapText="1" indent="1"/>
    </xf>
    <xf numFmtId="167" fontId="0" fillId="0" borderId="0" xfId="0" applyNumberFormat="1">
      <alignment horizontal="left" vertical="center" wrapText="1" indent="1"/>
    </xf>
    <xf numFmtId="0" fontId="0" fillId="0" borderId="33" xfId="0" applyBorder="1">
      <alignment horizontal="left" vertical="center" wrapText="1" indent="1"/>
    </xf>
    <xf numFmtId="167" fontId="0" fillId="0" borderId="34" xfId="0" applyNumberFormat="1" applyBorder="1">
      <alignment horizontal="left" vertical="center" wrapText="1" indent="1"/>
    </xf>
    <xf numFmtId="0" fontId="0" fillId="0" borderId="35" xfId="0" applyBorder="1">
      <alignment horizontal="left" vertical="center" wrapText="1" indent="1"/>
    </xf>
    <xf numFmtId="167" fontId="0" fillId="0" borderId="36" xfId="0" applyNumberFormat="1" applyBorder="1">
      <alignment horizontal="left" vertical="center" wrapText="1" indent="1"/>
    </xf>
    <xf numFmtId="0" fontId="0" fillId="0" borderId="37" xfId="0" applyBorder="1">
      <alignment horizontal="left" vertical="center" wrapText="1" indent="1"/>
    </xf>
    <xf numFmtId="167" fontId="0" fillId="0" borderId="38" xfId="0" applyNumberFormat="1" applyBorder="1">
      <alignment horizontal="left" vertical="center" wrapText="1" indent="1"/>
    </xf>
    <xf numFmtId="0" fontId="38" fillId="38" borderId="39" xfId="0" applyFont="1" applyFill="1" applyBorder="1">
      <alignment horizontal="left" vertical="center" wrapText="1" indent="1"/>
    </xf>
    <xf numFmtId="166" fontId="38" fillId="38" borderId="40" xfId="6" applyFont="1" applyFill="1" applyBorder="1">
      <alignment horizontal="right" vertical="center" indent="1"/>
    </xf>
    <xf numFmtId="0" fontId="0" fillId="0" borderId="41" xfId="0" applyBorder="1">
      <alignment horizontal="left" vertical="center" wrapText="1" indent="1"/>
    </xf>
    <xf numFmtId="0" fontId="14" fillId="40" borderId="42" xfId="0" applyFont="1" applyFill="1" applyBorder="1">
      <alignment horizontal="left" vertical="center" wrapText="1" indent="1"/>
    </xf>
    <xf numFmtId="0" fontId="14" fillId="40" borderId="0" xfId="0" applyFont="1" applyFill="1">
      <alignment horizontal="left" vertical="center" wrapText="1" indent="1"/>
    </xf>
    <xf numFmtId="0" fontId="14" fillId="40" borderId="44" xfId="0" applyFont="1" applyFill="1" applyBorder="1">
      <alignment horizontal="left" vertical="center" wrapText="1" indent="1"/>
    </xf>
    <xf numFmtId="0" fontId="0" fillId="0" borderId="43" xfId="0" applyBorder="1">
      <alignment horizontal="left" vertical="center" wrapText="1" indent="1"/>
    </xf>
    <xf numFmtId="0" fontId="14" fillId="38" borderId="44" xfId="0" applyFont="1" applyFill="1" applyBorder="1" applyAlignment="1">
      <alignment horizontal="left" vertical="center" indent="1"/>
    </xf>
    <xf numFmtId="166" fontId="14" fillId="40" borderId="45" xfId="6" applyFont="1" applyFill="1" applyBorder="1">
      <alignment horizontal="right" vertical="center" indent="1"/>
    </xf>
    <xf numFmtId="166" fontId="14" fillId="40" borderId="43" xfId="6" applyFont="1" applyFill="1" applyBorder="1">
      <alignment horizontal="right" vertical="center" indent="1"/>
    </xf>
    <xf numFmtId="166" fontId="14" fillId="40" borderId="46" xfId="6" applyFont="1" applyFill="1" applyBorder="1">
      <alignment horizontal="right" vertical="center" indent="1"/>
    </xf>
    <xf numFmtId="166" fontId="57" fillId="35" borderId="0" xfId="3" applyNumberFormat="1" applyFont="1" applyFill="1" applyBorder="1">
      <alignment horizontal="center" vertical="center"/>
    </xf>
    <xf numFmtId="49" fontId="58" fillId="0" borderId="0" xfId="6" applyNumberFormat="1" applyFont="1" applyFill="1" applyAlignment="1">
      <alignment horizontal="center" vertical="center"/>
    </xf>
    <xf numFmtId="49" fontId="43" fillId="0" borderId="0" xfId="6" applyNumberFormat="1" applyFont="1" applyFill="1" applyAlignment="1">
      <alignment horizontal="center" vertical="center"/>
    </xf>
    <xf numFmtId="0" fontId="59" fillId="0" borderId="0" xfId="0" applyFont="1">
      <alignment horizontal="left" vertical="center" wrapText="1" indent="1"/>
    </xf>
    <xf numFmtId="0" fontId="31" fillId="35" borderId="0" xfId="3" applyFont="1" applyFill="1" applyBorder="1">
      <alignment horizontal="center" vertical="center"/>
    </xf>
    <xf numFmtId="0" fontId="13" fillId="37" borderId="2" xfId="4" applyFont="1" applyFill="1" applyBorder="1">
      <alignment horizontal="center" vertical="center"/>
    </xf>
    <xf numFmtId="0" fontId="33" fillId="35" borderId="9" xfId="2" applyFont="1" applyFill="1" applyBorder="1" applyAlignment="1">
      <alignment horizontal="center" vertical="center"/>
    </xf>
    <xf numFmtId="0" fontId="12" fillId="35" borderId="2" xfId="3" applyFont="1" applyFill="1">
      <alignment horizontal="center" vertical="center"/>
    </xf>
    <xf numFmtId="0" fontId="12" fillId="35" borderId="33" xfId="3" applyFont="1" applyFill="1" applyBorder="1">
      <alignment horizontal="center" vertical="center"/>
    </xf>
    <xf numFmtId="0" fontId="12" fillId="35" borderId="34" xfId="3" applyFont="1" applyFill="1" applyBorder="1">
      <alignment horizontal="center" vertical="center"/>
    </xf>
    <xf numFmtId="0" fontId="56" fillId="39" borderId="23" xfId="0" applyFont="1" applyFill="1" applyBorder="1" applyAlignment="1">
      <alignment horizontal="center" vertical="center" wrapText="1"/>
    </xf>
    <xf numFmtId="0" fontId="56" fillId="39" borderId="24" xfId="0" applyFont="1" applyFill="1" applyBorder="1" applyAlignment="1">
      <alignment horizontal="center" vertical="center" wrapText="1"/>
    </xf>
  </cellXfs>
  <cellStyles count="49">
    <cellStyle name="20% - Ênfase1" xfId="25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26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Ano" xfId="11" xr:uid="{00000000-0005-0000-0000-00000B000000}"/>
    <cellStyle name="Bom" xfId="15" builtinId="26" customBuiltin="1"/>
    <cellStyle name="Cálculo" xfId="18" builtinId="22" customBuiltin="1"/>
    <cellStyle name="Célula de Verificação" xfId="20" builtinId="23" customBuiltin="1"/>
    <cellStyle name="Célula Vinculada" xfId="19" builtinId="24" customBuiltin="1"/>
    <cellStyle name="Ênfase1" xfId="10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8" builtinId="20" customBuiltin="1"/>
    <cellStyle name="Moeda" xfId="6" builtinId="4" customBuiltin="1"/>
    <cellStyle name="Moeda [0]" xfId="7" builtinId="7" customBuiltin="1"/>
    <cellStyle name="Neutro" xfId="17" builtinId="28" customBuiltin="1"/>
    <cellStyle name="Normal" xfId="0" builtinId="0" customBuiltin="1"/>
    <cellStyle name="Normal 2" xfId="48" xr:uid="{5A77EEC4-9C58-494B-B288-2B9DE56680D4}"/>
    <cellStyle name="Nota" xfId="22" builtinId="10" customBuiltin="1"/>
    <cellStyle name="Porcentagem" xfId="1" builtinId="5" customBuiltin="1"/>
    <cellStyle name="Ruim" xfId="16" builtinId="27" customBuiltin="1"/>
    <cellStyle name="Saída" xfId="9" builtinId="21" customBuiltin="1"/>
    <cellStyle name="Separador de milhares [0]" xfId="13" builtinId="6" customBuiltin="1"/>
    <cellStyle name="Texto de Aviso" xfId="21" builtinId="11" customBuiltin="1"/>
    <cellStyle name="Texto Explicativo" xfId="23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14" builtinId="19" customBuiltin="1"/>
    <cellStyle name="Total" xfId="24" builtinId="25" customBuiltin="1"/>
    <cellStyle name="Vírgula" xfId="12" builtinId="3" customBuiltin="1"/>
  </cellStyles>
  <dxfs count="43">
    <dxf>
      <font>
        <color theme="0"/>
      </font>
    </dxf>
    <dxf>
      <font>
        <color rgb="FF9C0006"/>
      </font>
      <fill>
        <patternFill>
          <bgColor rgb="FFEDF6E5"/>
        </patternFill>
      </fill>
    </dxf>
    <dxf>
      <font>
        <b/>
        <i val="0"/>
        <color rgb="FF9C0006"/>
      </font>
      <fill>
        <patternFill>
          <bgColor rgb="FFEDF6E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minor"/>
      </font>
      <fill>
        <patternFill patternType="solid">
          <fgColor indexed="64"/>
          <bgColor rgb="FFF38BA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F38BA0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rgb="FFFFBCBC"/>
        </patternFill>
      </fill>
    </dxf>
    <dxf>
      <numFmt numFmtId="166" formatCode="&quot;R$&quot;\ #,##0.0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ill>
        <patternFill patternType="solid">
          <fgColor indexed="64"/>
          <bgColor rgb="FFFFBCBC"/>
        </patternFill>
      </fill>
      <alignment horizontal="left" vertical="center" textRotation="0" wrapText="0" indent="2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entury Gothic"/>
        <scheme val="none"/>
      </font>
      <numFmt numFmtId="166" formatCode="&quot;R$&quot;\ #,##0.00"/>
      <alignment horizontal="center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numFmt numFmtId="166" formatCode="&quot;R$&quot;\ #,##0.0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entury Gothic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  <numFmt numFmtId="30" formatCode="@"/>
      <alignment horizontal="center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/>
        <i val="0"/>
        <strike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border>
        <bottom style="thick">
          <color rgb="FFFFFFFF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rgb="FFFFBCBC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</dxfs>
  <tableStyles count="1" defaultPivotStyle="PivotStyleMedium13">
    <tableStyle name="Orçamento mensal simples" pivot="0" count="3" xr9:uid="{00000000-0011-0000-FFFF-FFFF00000000}">
      <tableStyleElement type="wholeTable" dxfId="42"/>
      <tableStyleElement type="headerRow" dxfId="41"/>
      <tableStyleElement type="firstRowStripe" dxfId="40"/>
    </tableStyle>
  </tableStyles>
  <colors>
    <mruColors>
      <color rgb="FFF38BA0"/>
      <color rgb="FFB5EAEA"/>
      <color rgb="FFFFBCBC"/>
      <color rgb="FFEDF6E5"/>
      <color rgb="FFFF6161"/>
      <color rgb="FFD38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Gráfico gastos</c:v>
          </c:tx>
          <c:invertIfNegative val="0"/>
          <c:dPt>
            <c:idx val="0"/>
            <c:invertIfNegative val="0"/>
            <c:bubble3D val="0"/>
            <c:spPr>
              <a:solidFill>
                <a:srgbClr val="EDF6E5"/>
              </a:solidFill>
            </c:spPr>
            <c:extLst>
              <c:ext xmlns:c16="http://schemas.microsoft.com/office/drawing/2014/chart" uri="{C3380CC4-5D6E-409C-BE32-E72D297353CC}">
                <c16:uniqueId val="{00000001-F8A6-4F92-B285-2915AE3312E0}"/>
              </c:ext>
            </c:extLst>
          </c:dPt>
          <c:dPt>
            <c:idx val="1"/>
            <c:invertIfNegative val="0"/>
            <c:bubble3D val="0"/>
            <c:spPr>
              <a:solidFill>
                <a:srgbClr val="B5EAEA"/>
              </a:solidFill>
            </c:spPr>
            <c:extLst>
              <c:ext xmlns:c16="http://schemas.microsoft.com/office/drawing/2014/chart" uri="{C3380CC4-5D6E-409C-BE32-E72D297353CC}">
                <c16:uniqueId val="{00000003-F8A6-4F92-B285-2915AE3312E0}"/>
              </c:ext>
            </c:extLst>
          </c:dPt>
          <c:dPt>
            <c:idx val="2"/>
            <c:invertIfNegative val="0"/>
            <c:bubble3D val="0"/>
            <c:spPr>
              <a:solidFill>
                <a:srgbClr val="F38BA0"/>
              </a:solidFill>
            </c:spPr>
            <c:extLst>
              <c:ext xmlns:c16="http://schemas.microsoft.com/office/drawing/2014/chart" uri="{C3380CC4-5D6E-409C-BE32-E72D297353CC}">
                <c16:uniqueId val="{00000006-B535-429C-B8D0-4DFD649580DF}"/>
              </c:ext>
            </c:extLst>
          </c:dPt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Resumo!$B$8:$B$10</c:f>
              <c:strCache>
                <c:ptCount val="3"/>
                <c:pt idx="0">
                  <c:v>Renda mensal total</c:v>
                </c:pt>
                <c:pt idx="1">
                  <c:v>Despesas mensais totais</c:v>
                </c:pt>
                <c:pt idx="2">
                  <c:v>Despesas Cartão totais</c:v>
                </c:pt>
              </c:strCache>
            </c:strRef>
          </c:cat>
          <c:val>
            <c:numRef>
              <c:f>Resumo!$C$8:$C$10</c:f>
              <c:numCache>
                <c:formatCode>"R$"\ #,##0.00</c:formatCode>
                <c:ptCount val="3"/>
                <c:pt idx="0">
                  <c:v>27253.980000000003</c:v>
                </c:pt>
                <c:pt idx="1">
                  <c:v>2636.4500000000003</c:v>
                </c:pt>
                <c:pt idx="2">
                  <c:v>18570.300000000007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A6-4F92-B285-2915AE331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539195768"/>
        <c:axId val="539196160"/>
      </c:barChart>
      <c:catAx>
        <c:axId val="539195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t-BR"/>
          </a:p>
        </c:txPr>
        <c:crossAx val="539196160"/>
        <c:crosses val="autoZero"/>
        <c:auto val="0"/>
        <c:lblAlgn val="ctr"/>
        <c:lblOffset val="80"/>
        <c:noMultiLvlLbl val="0"/>
      </c:catAx>
      <c:valAx>
        <c:axId val="539196160"/>
        <c:scaling>
          <c:orientation val="minMax"/>
          <c:min val="0"/>
        </c:scaling>
        <c:delete val="0"/>
        <c:axPos val="l"/>
        <c:numFmt formatCode="&quot;R$&quot;\ #,##0" sourceLinked="0"/>
        <c:majorTickMark val="in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t-BR"/>
          </a:p>
        </c:txPr>
        <c:crossAx val="539195768"/>
        <c:crosses val="autoZero"/>
        <c:crossBetween val="between"/>
        <c:minorUnit val="50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269874</xdr:colOff>
      <xdr:row>3</xdr:row>
      <xdr:rowOff>12700</xdr:rowOff>
    </xdr:from>
    <xdr:to>
      <xdr:col>5</xdr:col>
      <xdr:colOff>88900</xdr:colOff>
      <xdr:row>20</xdr:row>
      <xdr:rowOff>31754</xdr:rowOff>
    </xdr:to>
    <xdr:graphicFrame macro="">
      <xdr:nvGraphicFramePr>
        <xdr:cNvPr id="5" name="RendaEDespesas" descr="Gráfico de colunas clusterizado mostrando a receita mensal total e as despesas mensais totais">
          <a:extLst>
            <a:ext uri="{FF2B5EF4-FFF2-40B4-BE49-F238E27FC236}">
              <a16:creationId xmlns:a16="http://schemas.microsoft.com/office/drawing/2014/main" id="{BD230B27-FC6F-43EC-92DC-A6663A512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1807027</xdr:colOff>
      <xdr:row>0</xdr:row>
      <xdr:rowOff>0</xdr:rowOff>
    </xdr:from>
    <xdr:to>
      <xdr:col>3</xdr:col>
      <xdr:colOff>3178626</xdr:colOff>
      <xdr:row>3</xdr:row>
      <xdr:rowOff>129266</xdr:rowOff>
    </xdr:to>
    <xdr:sp macro="" textlink="D1">
      <xdr:nvSpPr>
        <xdr:cNvPr id="6" name="Ano do orçamento" descr="Ano do orçamen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805056" y="0"/>
          <a:ext cx="1371599" cy="1054100"/>
        </a:xfrm>
        <a:prstGeom prst="rect">
          <a:avLst/>
        </a:prstGeom>
        <a:solidFill>
          <a:srgbClr val="EDF6E5"/>
        </a:solidFill>
        <a:ln>
          <a:noFill/>
        </a:ln>
        <a:effectLst>
          <a:softEdge rad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lIns="0" rIns="0" bIns="91440" rtlCol="0" anchor="b"/>
        <a:lstStyle/>
        <a:p>
          <a:pPr algn="ctr" rtl="0"/>
          <a:fld id="{9923941E-DD12-4942-9C7A-7F1C172CA821}" type="TxLink">
            <a:rPr lang="en-US" sz="3200" b="1" i="0" u="none" strike="noStrike">
              <a:solidFill>
                <a:srgbClr val="FFBCBC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</a:rPr>
            <a:pPr algn="ctr" rtl="0"/>
            <a:t>2026</a:t>
          </a:fld>
          <a:endParaRPr lang="en-US" sz="3200" b="1">
            <a:solidFill>
              <a:srgbClr val="FFBCBC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Century Gothic" panose="020B0502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314.005623495374" createdVersion="8" refreshedVersion="8" minRefreshableVersion="3" recordCount="138" xr:uid="{4F44C451-9FE4-4979-A6D9-E180AC43128B}">
  <cacheSource type="worksheet">
    <worksheetSource name="CARTÕES"/>
  </cacheSource>
  <cacheFields count="7">
    <cacheField name="Cartão" numFmtId="49">
      <sharedItems containsBlank="1"/>
    </cacheField>
    <cacheField name="Vencimento" numFmtId="49">
      <sharedItems containsBlank="1" containsMixedTypes="1" containsNumber="1" containsInteger="1" minValue="6" maxValue="27"/>
    </cacheField>
    <cacheField name="Cota" numFmtId="0">
      <sharedItems containsBlank="1" count="8">
        <s v="M"/>
        <s v="AP"/>
        <s v="AB"/>
        <m/>
        <s v="T"/>
        <s v="A" u="1"/>
        <s v="I" u="1"/>
        <s v="TI" u="1"/>
      </sharedItems>
    </cacheField>
    <cacheField name="Parcela" numFmtId="49">
      <sharedItems containsBlank="1"/>
    </cacheField>
    <cacheField name="Descrição" numFmtId="0">
      <sharedItems containsBlank="1"/>
    </cacheField>
    <cacheField name="Valor" numFmtId="166">
      <sharedItems containsString="0" containsBlank="1" containsNumber="1" minValue="3.72" maxValue="3613.84"/>
    </cacheField>
    <cacheField name="Categoria" numFmtId="166">
      <sharedItems containsBlank="1" count="22">
        <m/>
        <s v="Assinatura"/>
        <s v="Uber"/>
        <s v="Farmácia"/>
        <s v="Casa"/>
        <s v="Lia"/>
        <s v="Dogs"/>
        <s v="Viagem"/>
        <s v="Trabalho"/>
        <s v="Outros"/>
        <s v="Mercado"/>
        <s v="Carro"/>
        <s v="Ifood"/>
        <s v="Estudo"/>
        <s v="Comida"/>
        <s v="Gasolina"/>
        <s v="Kids"/>
        <s v="Beto"/>
        <s v="Beleza" u="1"/>
        <s v="Lazer" u="1"/>
        <s v="Roupas" u="1"/>
        <s v="Mudança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Nubank And"/>
    <n v="18"/>
    <x v="0"/>
    <s v="05/12"/>
    <s v="Empréstimo Motor Carro"/>
    <n v="541.11"/>
    <x v="0"/>
  </r>
  <r>
    <s v="Nubank And"/>
    <n v="18"/>
    <x v="1"/>
    <s v="*"/>
    <s v="Ig*Vetwork - Sistema pet"/>
    <n v="191.66"/>
    <x v="0"/>
  </r>
  <r>
    <s v="Nubank And"/>
    <n v="18"/>
    <x v="1"/>
    <s v="*"/>
    <s v="Tim Pos"/>
    <n v="119.99"/>
    <x v="0"/>
  </r>
  <r>
    <s v="Nubank And"/>
    <n v="18"/>
    <x v="2"/>
    <s v="*"/>
    <s v="Spotify"/>
    <n v="31.9"/>
    <x v="1"/>
  </r>
  <r>
    <s v="Nubank And"/>
    <n v="18"/>
    <x v="2"/>
    <s v="-"/>
    <s v="uber"/>
    <n v="88.369999999999976"/>
    <x v="2"/>
  </r>
  <r>
    <s v="Nubank And"/>
    <n v="18"/>
    <x v="1"/>
    <s v="-"/>
    <s v="remédio fernanda"/>
    <n v="205.15"/>
    <x v="0"/>
  </r>
  <r>
    <s v="Nubank And"/>
    <n v="18"/>
    <x v="2"/>
    <s v="-"/>
    <s v="remedio beto"/>
    <n v="111.97"/>
    <x v="3"/>
  </r>
  <r>
    <m/>
    <m/>
    <x v="3"/>
    <m/>
    <m/>
    <m/>
    <x v="0"/>
  </r>
  <r>
    <s v="Carrefour Beto"/>
    <n v="20"/>
    <x v="1"/>
    <s v="10/15"/>
    <s v="Geladeira"/>
    <n v="146"/>
    <x v="0"/>
  </r>
  <r>
    <s v="Carrefour Beto"/>
    <n v="20"/>
    <x v="0"/>
    <s v="04/09"/>
    <s v="Airfryer"/>
    <n v="33.22"/>
    <x v="0"/>
  </r>
  <r>
    <s v="Carrefour Beto"/>
    <n v="20"/>
    <x v="3"/>
    <m/>
    <m/>
    <m/>
    <x v="0"/>
  </r>
  <r>
    <m/>
    <m/>
    <x v="3"/>
    <m/>
    <m/>
    <m/>
    <x v="0"/>
  </r>
  <r>
    <s v="Carrefour Lia"/>
    <n v="20"/>
    <x v="1"/>
    <s v="08/10"/>
    <s v="Panelas"/>
    <n v="46.89"/>
    <x v="0"/>
  </r>
  <r>
    <s v="Carrefour Lia"/>
    <n v="20"/>
    <x v="1"/>
    <s v="09/15"/>
    <s v="Geladeira"/>
    <n v="41.26"/>
    <x v="0"/>
  </r>
  <r>
    <s v="Carrefour Lia"/>
    <n v="20"/>
    <x v="2"/>
    <s v="09/15"/>
    <s v="Eletros"/>
    <n v="51.93"/>
    <x v="4"/>
  </r>
  <r>
    <s v="Carrefour Lia"/>
    <n v="20"/>
    <x v="2"/>
    <s v="09/15"/>
    <s v="Eletros"/>
    <n v="27.2"/>
    <x v="4"/>
  </r>
  <r>
    <s v="Carrefour Lia"/>
    <n v="20"/>
    <x v="3"/>
    <m/>
    <m/>
    <m/>
    <x v="0"/>
  </r>
  <r>
    <m/>
    <m/>
    <x v="3"/>
    <m/>
    <m/>
    <m/>
    <x v="0"/>
  </r>
  <r>
    <s v="Click Lia"/>
    <n v="6"/>
    <x v="0"/>
    <s v="06/11"/>
    <s v="Gril churrasqueira"/>
    <n v="62.75"/>
    <x v="0"/>
  </r>
  <r>
    <s v="Click Lia"/>
    <n v="6"/>
    <x v="0"/>
    <s v="04/04"/>
    <s v="pix parcelado multas"/>
    <n v="138.47"/>
    <x v="0"/>
  </r>
  <r>
    <m/>
    <m/>
    <x v="3"/>
    <m/>
    <m/>
    <m/>
    <x v="0"/>
  </r>
  <r>
    <s v="Credicard Lia"/>
    <n v="7"/>
    <x v="2"/>
    <s v="10/12"/>
    <s v="Case do Switch"/>
    <n v="12.43"/>
    <x v="5"/>
  </r>
  <r>
    <s v="Credicard Lia"/>
    <n v="7"/>
    <x v="2"/>
    <s v="03/06"/>
    <s v="exmae helena"/>
    <n v="64.2"/>
    <x v="6"/>
  </r>
  <r>
    <s v="Credicard Lia"/>
    <n v="7"/>
    <x v="0"/>
    <s v="03/04"/>
    <s v="bicos do carro"/>
    <n v="115.49"/>
    <x v="0"/>
  </r>
  <r>
    <s v="Credicard Lia"/>
    <s v="7"/>
    <x v="4"/>
    <s v="02/03"/>
    <s v="CABELO MÃE"/>
    <n v="157.34"/>
    <x v="0"/>
  </r>
  <r>
    <m/>
    <m/>
    <x v="3"/>
    <m/>
    <m/>
    <m/>
    <x v="0"/>
  </r>
  <r>
    <s v="Credicard And"/>
    <n v="27"/>
    <x v="2"/>
    <s v="04/04"/>
    <s v="Airbnb"/>
    <n v="55.14"/>
    <x v="7"/>
  </r>
  <r>
    <s v="Credicard And"/>
    <n v="27"/>
    <x v="2"/>
    <s v="04/04"/>
    <s v="Airbnb"/>
    <n v="41.72"/>
    <x v="7"/>
  </r>
  <r>
    <s v="Credicard And"/>
    <n v="27"/>
    <x v="2"/>
    <s v="-"/>
    <s v="Google play"/>
    <n v="89"/>
    <x v="1"/>
  </r>
  <r>
    <m/>
    <m/>
    <x v="3"/>
    <m/>
    <m/>
    <m/>
    <x v="0"/>
  </r>
  <r>
    <s v="Mercado Livre"/>
    <n v="17"/>
    <x v="2"/>
    <s v="09/18"/>
    <s v="mesa"/>
    <n v="59.3"/>
    <x v="8"/>
  </r>
  <r>
    <s v="Mercado Livre"/>
    <n v="17"/>
    <x v="2"/>
    <s v="09/18"/>
    <s v="Cadeira"/>
    <n v="66.66"/>
    <x v="8"/>
  </r>
  <r>
    <s v="Mercado Livre"/>
    <n v="17"/>
    <x v="2"/>
    <s v="09/18"/>
    <s v="Cadeira"/>
    <n v="64.66"/>
    <x v="8"/>
  </r>
  <r>
    <s v="Mercado Livre"/>
    <n v="17"/>
    <x v="2"/>
    <s v="06/10"/>
    <s v="Cadeiras"/>
    <n v="59.49"/>
    <x v="4"/>
  </r>
  <r>
    <m/>
    <m/>
    <x v="3"/>
    <m/>
    <m/>
    <m/>
    <x v="0"/>
  </r>
  <r>
    <s v="Uniclass"/>
    <n v="21"/>
    <x v="2"/>
    <s v="09/12"/>
    <s v="Seguro Fiança"/>
    <n v="28.27"/>
    <x v="4"/>
  </r>
  <r>
    <s v="Uniclass"/>
    <n v="21"/>
    <x v="2"/>
    <s v="08/09"/>
    <s v="kabum"/>
    <n v="26.3"/>
    <x v="8"/>
  </r>
  <r>
    <s v="Uniclass"/>
    <n v="21"/>
    <x v="0"/>
    <s v="07/12"/>
    <s v="Empréstimo"/>
    <n v="309"/>
    <x v="9"/>
  </r>
  <r>
    <s v="Uniclass"/>
    <n v="21"/>
    <x v="0"/>
    <s v="-"/>
    <s v="OUTROS"/>
    <n v="225"/>
    <x v="10"/>
  </r>
  <r>
    <s v="Uniclass"/>
    <n v="21"/>
    <x v="2"/>
    <s v="*"/>
    <s v="melimais +"/>
    <n v="9.9"/>
    <x v="1"/>
  </r>
  <r>
    <m/>
    <m/>
    <x v="3"/>
    <m/>
    <m/>
    <m/>
    <x v="0"/>
  </r>
  <r>
    <s v="Samsung"/>
    <n v="27"/>
    <x v="0"/>
    <s v="06/06"/>
    <s v="pg *exi imp expebrasiliabr"/>
    <n v="49.98"/>
    <x v="0"/>
  </r>
  <r>
    <s v="Samsung"/>
    <n v="27"/>
    <x v="0"/>
    <s v="05/05"/>
    <s v="kazzu azzee calçados"/>
    <n v="35.99"/>
    <x v="0"/>
  </r>
  <r>
    <s v="Samsung"/>
    <n v="27"/>
    <x v="0"/>
    <s v="02/04"/>
    <s v="CELTA GOIANIA"/>
    <n v="126.51"/>
    <x v="0"/>
  </r>
  <r>
    <s v="Samsung"/>
    <n v="27"/>
    <x v="0"/>
    <s v="02/04"/>
    <s v="SHAMPOO E CREME"/>
    <n v="32.72"/>
    <x v="0"/>
  </r>
  <r>
    <m/>
    <m/>
    <x v="3"/>
    <m/>
    <m/>
    <m/>
    <x v="0"/>
  </r>
  <r>
    <s v="Boletos"/>
    <n v="13"/>
    <x v="0"/>
    <s v="*"/>
    <s v="Seguro Carro"/>
    <n v="171.39"/>
    <x v="0"/>
  </r>
  <r>
    <s v="Boletos"/>
    <n v="18"/>
    <x v="0"/>
    <s v="*"/>
    <s v="Parcela Carro"/>
    <n v="871.89"/>
    <x v="0"/>
  </r>
  <r>
    <s v="Boletos"/>
    <n v="15"/>
    <x v="1"/>
    <m/>
    <s v="Energia Fernanda"/>
    <n v="450"/>
    <x v="0"/>
  </r>
  <r>
    <s v="Boletos"/>
    <s v="15"/>
    <x v="1"/>
    <m/>
    <s v="Seguro de Vida"/>
    <n v="310.41000000000003"/>
    <x v="0"/>
  </r>
  <r>
    <s v="Boletos"/>
    <s v="15"/>
    <x v="1"/>
    <m/>
    <s v="Seguro de Vida"/>
    <n v="420.43"/>
    <x v="0"/>
  </r>
  <r>
    <s v="Boletos"/>
    <n v="20"/>
    <x v="1"/>
    <m/>
    <s v="Plano de saúde"/>
    <n v="963"/>
    <x v="0"/>
  </r>
  <r>
    <m/>
    <m/>
    <x v="3"/>
    <m/>
    <m/>
    <m/>
    <x v="0"/>
  </r>
  <r>
    <s v="Azul"/>
    <s v="09"/>
    <x v="2"/>
    <s v="01/03"/>
    <s v="Caoa Chery  Porto Alegporto Alegrebra"/>
    <n v="472.23"/>
    <x v="11"/>
  </r>
  <r>
    <s v="Azul"/>
    <s v="09"/>
    <x v="2"/>
    <s v="-"/>
    <s v="99food *62.688.066 Claporto Alegrebra"/>
    <n v="42.84"/>
    <x v="12"/>
  </r>
  <r>
    <s v="Azul"/>
    <s v="09"/>
    <x v="2"/>
    <s v="-"/>
    <s v="99app       *99appsao Paulobra"/>
    <n v="23.3"/>
    <x v="2"/>
  </r>
  <r>
    <s v="Azul"/>
    <s v="09"/>
    <x v="2"/>
    <s v="-"/>
    <s v="99app       *99appsao Paulobra"/>
    <n v="30.4"/>
    <x v="2"/>
  </r>
  <r>
    <s v="Azul"/>
    <s v="09"/>
    <x v="2"/>
    <s v="-"/>
    <s v="Amazon Br   *Amazon Brsao Paulobra"/>
    <n v="48.6"/>
    <x v="13"/>
  </r>
  <r>
    <s v="Azul"/>
    <s v="09"/>
    <x v="2"/>
    <s v="-"/>
    <s v="Jim.com* Dala Juice Lgoianiabra"/>
    <n v="30"/>
    <x v="14"/>
  </r>
  <r>
    <s v="Azul"/>
    <s v="09"/>
    <x v="2"/>
    <s v="*"/>
    <s v="Openai *Chatgpt Subscrsan Franciscousa"/>
    <n v="106.33"/>
    <x v="1"/>
  </r>
  <r>
    <s v="Azul"/>
    <s v="09"/>
    <x v="2"/>
    <s v="-"/>
    <s v="Iof Internacional - Openai *Chatgpt Subscrsan Franciscousa"/>
    <n v="3.72"/>
    <x v="1"/>
  </r>
  <r>
    <s v="Azul"/>
    <s v="09"/>
    <x v="2"/>
    <s v="-"/>
    <s v="99app       *99appsao Paulobra"/>
    <n v="19.899999999999999"/>
    <x v="2"/>
  </r>
  <r>
    <s v="Azul"/>
    <s v="09"/>
    <x v="2"/>
    <s v="-"/>
    <s v="Posto Agronomiaporto Alegrebra"/>
    <n v="60"/>
    <x v="15"/>
  </r>
  <r>
    <s v="Azul"/>
    <s v="09"/>
    <x v="2"/>
    <s v="-"/>
    <s v="Sabhora Restaurantegoianiabra"/>
    <n v="30.78"/>
    <x v="14"/>
  </r>
  <r>
    <s v="Azul"/>
    <s v="09"/>
    <x v="2"/>
    <s v="-"/>
    <s v="Rafas Food Park Inflavgoianiabra"/>
    <n v="160.16999999999999"/>
    <x v="14"/>
  </r>
  <r>
    <s v="Azul"/>
    <s v="09"/>
    <x v="2"/>
    <s v="-"/>
    <s v="passador de slide"/>
    <n v="15.2"/>
    <x v="8"/>
  </r>
  <r>
    <s v="Azul"/>
    <s v="09"/>
    <x v="2"/>
    <s v="-"/>
    <s v="Lanchonete Tia Joanaclaudinapolisbra"/>
    <n v="20"/>
    <x v="14"/>
  </r>
  <r>
    <s v="Azul"/>
    <s v="09"/>
    <x v="2"/>
    <s v="-"/>
    <s v="Auto Posto Lobaojussarabra"/>
    <n v="100"/>
    <x v="15"/>
  </r>
  <r>
    <s v="Azul"/>
    <s v="09"/>
    <x v="2"/>
    <s v="-"/>
    <s v="Supermercado Barataojussarabra"/>
    <n v="13.64"/>
    <x v="10"/>
  </r>
  <r>
    <s v="Azul"/>
    <s v="09"/>
    <x v="2"/>
    <s v="-"/>
    <s v="99food *47.357.536 Alaporto Alegrebra"/>
    <n v="61.18"/>
    <x v="12"/>
  </r>
  <r>
    <s v="Azul"/>
    <s v="09"/>
    <x v="2"/>
    <s v="-"/>
    <s v="99app       *99appsao Paulobra"/>
    <n v="23.7"/>
    <x v="2"/>
  </r>
  <r>
    <s v="Azul"/>
    <s v="09"/>
    <x v="2"/>
    <s v="01/02"/>
    <s v="Droga Certajussarabra"/>
    <n v="88.5"/>
    <x v="3"/>
  </r>
  <r>
    <s v="Azul"/>
    <s v="09"/>
    <x v="2"/>
    <s v="-"/>
    <s v="Emporiodasbebidasjussarabra"/>
    <n v="10"/>
    <x v="14"/>
  </r>
  <r>
    <s v="Azul"/>
    <s v="09"/>
    <x v="2"/>
    <s v="-"/>
    <s v="99app       *99appsao Paulobra"/>
    <n v="23.1"/>
    <x v="2"/>
  </r>
  <r>
    <s v="Azul"/>
    <s v="09"/>
    <x v="2"/>
    <s v="-"/>
    <s v="Reginaldopercosascobra"/>
    <n v="7"/>
    <x v="14"/>
  </r>
  <r>
    <s v="Azul"/>
    <s v="09"/>
    <x v="2"/>
    <s v="-"/>
    <s v="Osorno Comercio A Vareporto Alegrebra"/>
    <n v="31.39"/>
    <x v="14"/>
  </r>
  <r>
    <s v="Azul"/>
    <s v="09"/>
    <x v="2"/>
    <s v="-"/>
    <s v="canetas"/>
    <n v="34.43"/>
    <x v="8"/>
  </r>
  <r>
    <s v="Azul"/>
    <s v="09"/>
    <x v="2"/>
    <s v="-"/>
    <s v="99app       *99appsao Paulobra"/>
    <n v="22"/>
    <x v="2"/>
  </r>
  <r>
    <s v="Azul"/>
    <s v="09"/>
    <x v="2"/>
    <s v="-"/>
    <s v="Petroenge Comercio Degoianiabra"/>
    <n v="50"/>
    <x v="15"/>
  </r>
  <r>
    <s v="Azul"/>
    <s v="09"/>
    <x v="2"/>
    <s v="-"/>
    <s v="Scpestacionamentogoianiabra"/>
    <n v="17.5"/>
    <x v="11"/>
  </r>
  <r>
    <s v="Azul"/>
    <s v="09"/>
    <x v="2"/>
    <s v="-"/>
    <s v="Johnny Joy Milk Shakegoianiabra"/>
    <n v="83.8"/>
    <x v="14"/>
  </r>
  <r>
    <s v="Azul"/>
    <s v="09"/>
    <x v="2"/>
    <s v="01/03"/>
    <s v="Ri Happygoianiabra"/>
    <n v="66.650000000000006"/>
    <x v="16"/>
  </r>
  <r>
    <s v="Azul"/>
    <s v="09"/>
    <x v="2"/>
    <s v="-"/>
    <s v="99app       *99appsao Paulobra"/>
    <n v="27"/>
    <x v="2"/>
  </r>
  <r>
    <s v="Azul"/>
    <s v="09"/>
    <x v="2"/>
    <s v="-"/>
    <s v="99app       *99appsao Paulobra"/>
    <n v="27.5"/>
    <x v="2"/>
  </r>
  <r>
    <s v="Azul"/>
    <s v="09"/>
    <x v="2"/>
    <s v="01/02"/>
    <s v="Shopee*pedro Henriqueguarulhosbra"/>
    <n v="152"/>
    <x v="16"/>
  </r>
  <r>
    <s v="Azul"/>
    <s v="09"/>
    <x v="2"/>
    <s v="-"/>
    <s v="Shopee *Huizaibrsao Paulobra"/>
    <n v="42.65"/>
    <x v="16"/>
  </r>
  <r>
    <s v="Azul"/>
    <s v="09"/>
    <x v="2"/>
    <s v="-"/>
    <s v="Mendonca Foods Restaurporto Alegrebra"/>
    <n v="11"/>
    <x v="14"/>
  </r>
  <r>
    <s v="Azul"/>
    <s v="09"/>
    <x v="2"/>
    <s v="-"/>
    <s v="Dht Mini-marketporto Alegrebra"/>
    <n v="6.1"/>
    <x v="10"/>
  </r>
  <r>
    <s v="Azul"/>
    <s v="09"/>
    <x v="2"/>
    <s v="-"/>
    <s v="Latam Allegr*lshwncsao Paulobra"/>
    <n v="200"/>
    <x v="7"/>
  </r>
  <r>
    <s v="Azul"/>
    <s v="09"/>
    <x v="2"/>
    <s v="-"/>
    <s v="S2p*2purificattaimaraubra"/>
    <n v="33"/>
    <x v="4"/>
  </r>
  <r>
    <s v="Azul"/>
    <s v="09"/>
    <x v="2"/>
    <s v="01/03"/>
    <s v="Dl*bookingcom401uppsalabra"/>
    <n v="619.94000000000005"/>
    <x v="7"/>
  </r>
  <r>
    <s v="Azul"/>
    <s v="09"/>
    <x v="2"/>
    <s v="-"/>
    <s v="99app       *99appsao Paulobra"/>
    <n v="11.7"/>
    <x v="2"/>
  </r>
  <r>
    <s v="Azul"/>
    <s v="09"/>
    <x v="2"/>
    <s v="-"/>
    <s v="99app       *99appsao Paulobra"/>
    <n v="7.5"/>
    <x v="2"/>
  </r>
  <r>
    <s v="Azul"/>
    <s v="09"/>
    <x v="2"/>
    <s v="-"/>
    <s v="Azul Linhas Aereas Brasilbaureribr"/>
    <n v="66.599999999999994"/>
    <x v="1"/>
  </r>
  <r>
    <s v="Azul"/>
    <s v="09"/>
    <x v="2"/>
    <s v="01/03"/>
    <s v="Ghost"/>
    <n v="83.3"/>
    <x v="5"/>
  </r>
  <r>
    <s v="Azul"/>
    <s v="09"/>
    <x v="2"/>
    <s v="-"/>
    <s v="99app       *99appsao Paulobra"/>
    <n v="8"/>
    <x v="2"/>
  </r>
  <r>
    <s v="Azul"/>
    <s v="09"/>
    <x v="2"/>
    <s v="-"/>
    <s v="Amazon Br   *Amazon Brsao Paulobra"/>
    <n v="72.94"/>
    <x v="10"/>
  </r>
  <r>
    <s v="Azul"/>
    <s v="09"/>
    <x v="2"/>
    <s v="-"/>
    <s v="Cestto Protasioporto Alegrebra"/>
    <n v="37.42"/>
    <x v="10"/>
  </r>
  <r>
    <s v="Azul"/>
    <s v="09"/>
    <x v="1"/>
    <s v="-"/>
    <s v="Jim.com* Jose Pereiraporto Alegrebra"/>
    <n v="3613.84"/>
    <x v="0"/>
  </r>
  <r>
    <s v="Azul"/>
    <s v="09"/>
    <x v="2"/>
    <s v="-"/>
    <s v="CRECHE"/>
    <n v="495.62"/>
    <x v="6"/>
  </r>
  <r>
    <s v="Azul"/>
    <s v="09"/>
    <x v="2"/>
    <s v="-"/>
    <s v="Dht Mini-marketporto Alegrebra"/>
    <n v="12.89"/>
    <x v="10"/>
  </r>
  <r>
    <s v="Azul"/>
    <s v="09"/>
    <x v="2"/>
    <s v="*"/>
    <s v="Amazon Kindle Unltdsao Paulobra"/>
    <n v="24.9"/>
    <x v="1"/>
  </r>
  <r>
    <s v="Azul"/>
    <s v="09"/>
    <x v="2"/>
    <s v="-"/>
    <s v="Google Crunchyroll Ansao Paulobra"/>
    <n v="24.9"/>
    <x v="1"/>
  </r>
  <r>
    <s v="Azul"/>
    <s v="09"/>
    <x v="2"/>
    <s v="-"/>
    <s v="Vonny Cosmeticosporto Alegrebra"/>
    <n v="88.7"/>
    <x v="5"/>
  </r>
  <r>
    <s v="Azul"/>
    <s v="09"/>
    <x v="2"/>
    <s v="-"/>
    <s v="comida japonesa"/>
    <n v="225.5"/>
    <x v="14"/>
  </r>
  <r>
    <s v="Azul"/>
    <s v="09"/>
    <x v="2"/>
    <s v="-"/>
    <s v="99food *64.434.007 Rafporto Alegrebra"/>
    <n v="64.150000000000006"/>
    <x v="12"/>
  </r>
  <r>
    <s v="Azul"/>
    <s v="09"/>
    <x v="2"/>
    <s v="-"/>
    <s v="99food *99foodsao Paulobra"/>
    <n v="12.99"/>
    <x v="12"/>
  </r>
  <r>
    <s v="Azul"/>
    <s v="09"/>
    <x v="2"/>
    <s v="-"/>
    <s v="Posto Agronomiaporto Alegrebra"/>
    <n v="50"/>
    <x v="15"/>
  </r>
  <r>
    <s v="Azul"/>
    <s v="09"/>
    <x v="2"/>
    <s v="-"/>
    <s v="Pg *Dry Company Bbarueribra"/>
    <n v="30"/>
    <x v="1"/>
  </r>
  <r>
    <s v="Azul"/>
    <s v="09"/>
    <x v="2"/>
    <s v="-"/>
    <s v="remédio ouvido"/>
    <n v="119.9"/>
    <x v="6"/>
  </r>
  <r>
    <s v="Azul"/>
    <s v="09"/>
    <x v="2"/>
    <s v="-"/>
    <s v="Carrefour Poa 7porto Alegrebra"/>
    <n v="416.92"/>
    <x v="10"/>
  </r>
  <r>
    <s v="Azul"/>
    <s v="09"/>
    <x v="2"/>
    <s v="-"/>
    <s v="Carrefour Poa 7porto Alegrebra"/>
    <n v="299.45999999999998"/>
    <x v="10"/>
  </r>
  <r>
    <s v="Azul"/>
    <s v="09"/>
    <x v="2"/>
    <s v="01/03"/>
    <s v="Farmacia De Manipulacsao Jose Dosbra"/>
    <n v="51.98"/>
    <x v="6"/>
  </r>
  <r>
    <s v="Azul"/>
    <s v="09"/>
    <x v="2"/>
    <s v="-"/>
    <s v="Yelumseg Parc9sao Paulobra"/>
    <n v="630.74"/>
    <x v="11"/>
  </r>
  <r>
    <s v="Azul"/>
    <s v="09"/>
    <x v="2"/>
    <s v="-"/>
    <s v="Ifd*ifood Clubosascobra"/>
    <n v="7.95"/>
    <x v="12"/>
  </r>
  <r>
    <s v="Azul"/>
    <s v="09"/>
    <x v="2"/>
    <s v="-"/>
    <s v="Shopping De Carnes Proporto Alegrebra"/>
    <n v="156.59"/>
    <x v="10"/>
  </r>
  <r>
    <s v="Azul"/>
    <s v="09"/>
    <x v="2"/>
    <s v="-"/>
    <s v="Cestto Protasioporto Alegrebra"/>
    <n v="87.61"/>
    <x v="10"/>
  </r>
  <r>
    <s v="Azul"/>
    <s v="09"/>
    <x v="2"/>
    <s v="-"/>
    <s v="extensão"/>
    <n v="32.9"/>
    <x v="4"/>
  </r>
  <r>
    <s v="Azul"/>
    <s v="09"/>
    <x v="2"/>
    <s v="-"/>
    <s v="Amazonmktplc*amazon Brsao Paulobra"/>
    <n v="164.33999999999997"/>
    <x v="4"/>
  </r>
  <r>
    <s v="Azul"/>
    <s v="09"/>
    <x v="2"/>
    <s v="-"/>
    <s v="Mordedores"/>
    <n v="63.8"/>
    <x v="6"/>
  </r>
  <r>
    <s v="Azul"/>
    <s v="09"/>
    <x v="2"/>
    <s v="-"/>
    <s v="Posto Br3porto Alegrebra"/>
    <n v="50"/>
    <x v="15"/>
  </r>
  <r>
    <s v="Azul"/>
    <s v="09"/>
    <x v="2"/>
    <s v="-"/>
    <s v="Cobasi Poa Central Parporto Alegrebra"/>
    <n v="124.99"/>
    <x v="6"/>
  </r>
  <r>
    <s v="Azul"/>
    <s v="09"/>
    <x v="2"/>
    <s v="02/02"/>
    <s v="Bmb    *Equatorialporto Alegrebra"/>
    <n v="276.77"/>
    <x v="4"/>
  </r>
  <r>
    <s v="Azul"/>
    <s v="09"/>
    <x v="0"/>
    <s v="02/05"/>
    <s v="Pix Departamento Estadual De Transito"/>
    <n v="104.45"/>
    <x v="9"/>
  </r>
  <r>
    <s v="Azul"/>
    <s v="09"/>
    <x v="2"/>
    <s v="02/02"/>
    <s v="Nuuvem      *Nuuvemrio De Janeirbra"/>
    <n v="135.35"/>
    <x v="17"/>
  </r>
  <r>
    <s v="Azul"/>
    <s v="09"/>
    <x v="2"/>
    <s v="02/02"/>
    <s v="Formulaanimalgoianiabra"/>
    <n v="69"/>
    <x v="6"/>
  </r>
  <r>
    <s v="Azul"/>
    <s v="09"/>
    <x v="2"/>
    <s v="02/02"/>
    <s v="Farmacia Sao Joaoporto Alegrebra"/>
    <n v="65.36"/>
    <x v="3"/>
  </r>
  <r>
    <s v="Azul"/>
    <s v="09"/>
    <x v="2"/>
    <s v="02/02"/>
    <s v="Mercadolivre*mercadoljaragua Do Sbra"/>
    <n v="48.01"/>
    <x v="4"/>
  </r>
  <r>
    <s v="Azul"/>
    <s v="09"/>
    <x v="2"/>
    <s v="02/02"/>
    <s v="AMAZON  CASA"/>
    <n v="190.08"/>
    <x v="4"/>
  </r>
  <r>
    <s v="Azul"/>
    <s v="09"/>
    <x v="2"/>
    <s v="03/12"/>
    <s v="Pet Love Dog Herosao Paulobra"/>
    <n v="9.9"/>
    <x v="6"/>
  </r>
  <r>
    <s v="Azul"/>
    <s v="09"/>
    <x v="2"/>
    <s v="03/03"/>
    <s v="Cobasisao Paulobra"/>
    <n v="81.22"/>
    <x v="6"/>
  </r>
  <r>
    <s v="Azul"/>
    <s v="09"/>
    <x v="2"/>
    <s v="04/04"/>
    <s v="Airbnb * Hm4b8mnya4sao Paulobra"/>
    <n v="72.239999999999995"/>
    <x v="7"/>
  </r>
  <r>
    <s v="Azul"/>
    <s v="09"/>
    <x v="2"/>
    <s v="04/04"/>
    <s v="Airbnb * Hmb3efpcntsao Paulobra"/>
    <n v="132.03"/>
    <x v="7"/>
  </r>
  <r>
    <s v="Azul"/>
    <s v="09"/>
    <x v="2"/>
    <s v="05/05"/>
    <s v="Azul Linhas Upz3kqbarueribra"/>
    <n v="95"/>
    <x v="7"/>
  </r>
  <r>
    <s v="Azul"/>
    <s v="09"/>
    <x v="2"/>
    <s v="06/12"/>
    <s v="Dcoremoveisgoianiabra"/>
    <n v="429"/>
    <x v="9"/>
  </r>
  <r>
    <s v="Azul"/>
    <s v="09"/>
    <x v="1"/>
    <s v="08/21"/>
    <s v="Samsung No Itausao Paulobra"/>
    <n v="138.04"/>
    <x v="9"/>
  </r>
  <r>
    <s v="Azul"/>
    <s v="09"/>
    <x v="2"/>
    <s v="08/10"/>
    <s v="Amazon Brsao Paulobra"/>
    <n v="59.9"/>
    <x v="4"/>
  </r>
  <r>
    <s v="Azul"/>
    <s v="09"/>
    <x v="2"/>
    <s v="09/09"/>
    <s v="Mercadolivre*Compras Carro"/>
    <n v="56.1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590C5-8ED0-4C75-BAA3-156564CE911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1" firstHeaderRow="1" firstDataRow="1" firstDataCol="1" rowPageCount="1" colPageCount="1"/>
  <pivotFields count="7">
    <pivotField showAll="0"/>
    <pivotField showAll="0"/>
    <pivotField axis="axisPage" showAll="0">
      <items count="9">
        <item x="2"/>
        <item x="1"/>
        <item m="1" x="6"/>
        <item x="0"/>
        <item x="4"/>
        <item m="1" x="7"/>
        <item x="3"/>
        <item m="1" x="5"/>
        <item t="default"/>
      </items>
    </pivotField>
    <pivotField showAll="0"/>
    <pivotField showAll="0"/>
    <pivotField dataField="1" numFmtId="166" showAll="0"/>
    <pivotField axis="axisRow" showAll="0" sortType="descending">
      <items count="23">
        <item x="1"/>
        <item m="1" x="18"/>
        <item x="11"/>
        <item x="4"/>
        <item x="14"/>
        <item x="6"/>
        <item x="13"/>
        <item x="3"/>
        <item x="12"/>
        <item m="1" x="19"/>
        <item m="1" x="21"/>
        <item x="9"/>
        <item m="1" x="20"/>
        <item x="8"/>
        <item x="2"/>
        <item x="7"/>
        <item x="10"/>
        <item x="0"/>
        <item x="5"/>
        <item x="15"/>
        <item x="17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18">
    <i>
      <x v="15"/>
    </i>
    <i>
      <x v="2"/>
    </i>
    <i>
      <x v="16"/>
    </i>
    <i>
      <x v="5"/>
    </i>
    <i>
      <x v="3"/>
    </i>
    <i>
      <x v="4"/>
    </i>
    <i>
      <x v="11"/>
    </i>
    <i>
      <x/>
    </i>
    <i>
      <x v="14"/>
    </i>
    <i>
      <x v="19"/>
    </i>
    <i>
      <x v="13"/>
    </i>
    <i>
      <x v="7"/>
    </i>
    <i>
      <x v="21"/>
    </i>
    <i>
      <x v="8"/>
    </i>
    <i>
      <x v="18"/>
    </i>
    <i>
      <x v="20"/>
    </i>
    <i>
      <x v="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6"/>
  </dataFields>
  <formats count="8">
    <format dxfId="23">
      <pivotArea field="6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6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4CC8C6-C78E-4AC8-9309-4E26EBE352AA}" name="Tabela9" displayName="Tabela9" ref="A3:G6" totalsRowShown="0">
  <autoFilter ref="A3:G6" xr:uid="{F94CC8C6-C78E-4AC8-9309-4E26EBE352AA}"/>
  <tableColumns count="7">
    <tableColumn id="1" xr3:uid="{663738B3-69B4-4428-9BF3-A5CDA7BB3300}" name="Cartão"/>
    <tableColumn id="2" xr3:uid="{9F250BAD-9840-4F58-95A0-8BBCED0C50F9}" name="Vencimento"/>
    <tableColumn id="3" xr3:uid="{8D8EE882-6503-48CC-8445-DC2481D854AC}" name="Cota"/>
    <tableColumn id="4" xr3:uid="{4574D82C-C810-4565-A9AD-0C1753717336}" name="Parcela"/>
    <tableColumn id="5" xr3:uid="{700E9EE5-B4A3-491C-912B-C818B7AFD3C7}" name="Descrição"/>
    <tableColumn id="6" xr3:uid="{4B0EFFBB-8A9F-4433-9572-D8F71504D698}" name="Valor"/>
    <tableColumn id="7" xr3:uid="{F7EEB6A8-2F66-4932-BA9F-7D7B84703285}" name="Categor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2E03CB-824B-4BF4-9A08-F0AAA44118E6}" name="Tabela12" displayName="Tabela12" ref="A3:G13" totalsRowShown="0">
  <autoFilter ref="A3:G13" xr:uid="{202E03CB-824B-4BF4-9A08-F0AAA44118E6}"/>
  <tableColumns count="7">
    <tableColumn id="1" xr3:uid="{30F4ACE9-84CC-4DCA-A8F4-9D1D0A6EF959}" name="Cartão"/>
    <tableColumn id="2" xr3:uid="{56CA4748-206D-423C-A761-BB4AFAD46B46}" name="Vencimento"/>
    <tableColumn id="3" xr3:uid="{F4A95526-D1D8-4928-B695-AF9DD5EF6766}" name="Cota"/>
    <tableColumn id="4" xr3:uid="{318DBD7A-70A0-446F-BE2D-BEFB38FEEB93}" name="Parcela"/>
    <tableColumn id="5" xr3:uid="{CACA52CF-A1AF-47E0-A0DD-292919436A51}" name="Descrição"/>
    <tableColumn id="6" xr3:uid="{C335A692-A8DB-4D14-B3C4-4AAAE8C492FB}" name="Valor"/>
    <tableColumn id="7" xr3:uid="{4A798417-1074-4D87-B365-54AE5B48F2E7}" name="Categori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400E81-9809-47BB-A02B-D550A5BBA536}" name="Tabela13" displayName="Tabela13" ref="A3:G8" totalsRowShown="0">
  <autoFilter ref="A3:G8" xr:uid="{7A400E81-9809-47BB-A02B-D550A5BBA536}"/>
  <tableColumns count="7">
    <tableColumn id="1" xr3:uid="{8FF858B8-516E-40D7-A562-C0ACBC0C463F}" name="Cartão"/>
    <tableColumn id="2" xr3:uid="{3D369633-F107-4F4C-9FA9-7B72D3F4AC03}" name="Vencimento"/>
    <tableColumn id="3" xr3:uid="{B7DB6F16-BE8E-4844-9606-31AE3BDCE3C3}" name="Cota"/>
    <tableColumn id="4" xr3:uid="{8017FC19-DEE1-4F7C-8A74-F45256E9F76B}" name="Parcela"/>
    <tableColumn id="5" xr3:uid="{C27F6A8E-E763-4A00-B133-669D5E307655}" name="Descrição"/>
    <tableColumn id="6" xr3:uid="{48040CC7-7448-4EEC-B8E3-7534C943E5E7}" name="Valor"/>
    <tableColumn id="7" xr3:uid="{10DAFD23-8D3F-4EEE-937B-352D0D9DF614}" name="Categor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eita" displayName="Receita" ref="B3:C8" headerRowDxfId="15" dataDxfId="14" totalsRowDxfId="13">
  <autoFilter ref="B3:C8" xr:uid="{00000000-0009-0000-0100-000003000000}"/>
  <tableColumns count="2">
    <tableColumn id="1" xr3:uid="{00000000-0010-0000-0000-000001000000}" name="Item" totalsRowLabel="Total" dataDxfId="12" dataCellStyle="Normal"/>
    <tableColumn id="2" xr3:uid="{00000000-0010-0000-0000-000002000000}" name="Valor" totalsRowFunction="sum" dataDxfId="11" totalsRowDxfId="10" dataCellStyle="Moeda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receita mensal e os valores correspondentes na tabela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espesas" displayName="Despesas" ref="B3:C10" headerRowDxfId="9" dataDxfId="7" totalsRowDxfId="6" headerRowBorderDxfId="8">
  <autoFilter ref="B3:C10" xr:uid="{00000000-0009-0000-0100-000006000000}"/>
  <tableColumns count="2">
    <tableColumn id="1" xr3:uid="{00000000-0010-0000-0100-000001000000}" name="Item" totalsRowLabel="Total" dataDxfId="5" dataCellStyle="Normal"/>
    <tableColumn id="2" xr3:uid="{00000000-0010-0000-0100-000002000000}" name="Valor" totalsRowFunction="sum" dataDxfId="4" dataCellStyle="Moeda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despesa mensal e os valores correspondentes na tabela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140BCB-FDC6-4267-8AD7-6E8F07B7403C}" name="CARTÕES" displayName="CARTÕES" ref="A4:G142" headerRowDxfId="39" dataDxfId="37" totalsRowDxfId="36" headerRowBorderDxfId="38">
  <autoFilter ref="A4:G142" xr:uid="{6D140BCB-FDC6-4267-8AD7-6E8F07B7403C}">
    <filterColumn colId="2">
      <filters>
        <filter val="M"/>
      </filters>
    </filterColumn>
  </autoFilter>
  <tableColumns count="7">
    <tableColumn id="4" xr3:uid="{8D7F9CC7-B7C8-40B1-8074-6BA4628192BA}" name="Cartão" dataDxfId="35" totalsRowDxfId="34"/>
    <tableColumn id="6" xr3:uid="{73302229-FEB1-4D9E-8146-5B244B6E7B24}" name="Vencimento" dataDxfId="33" totalsRowDxfId="32"/>
    <tableColumn id="1" xr3:uid="{A30B90E2-5592-4CBC-85F5-3B409FBD2F28}" name="Cota" totalsRowLabel="Total" dataDxfId="31" dataCellStyle="Normal"/>
    <tableColumn id="2" xr3:uid="{3E32E62E-9926-401F-9EEE-6466C112E740}" name="Parcela" totalsRowFunction="sum" dataDxfId="30" totalsRowDxfId="29" dataCellStyle="Moeda"/>
    <tableColumn id="3" xr3:uid="{519F67E5-77DA-4A12-AE72-1D581487662B}" name="Descrição" dataDxfId="28"/>
    <tableColumn id="5" xr3:uid="{26BE6A58-07A1-4075-BAD4-EB942F0435EE}" name="Valor" dataDxfId="27" totalsRowDxfId="26"/>
    <tableColumn id="7" xr3:uid="{580907D9-A83C-45D1-A2F0-FA7CD72B5B82}" name="Categoria" dataDxfId="25" totalsRowDxfId="24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despesa mensal e os valores correspondentes na tabela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D5BE5-A1C4-4FF3-8970-BAF1E94EC28D}" name="Categorias" displayName="Categorias" ref="A1:A22" totalsRowShown="0" headerRowDxfId="3">
  <autoFilter ref="A1:A22" xr:uid="{15BD5BE5-A1C4-4FF3-8970-BAF1E94EC28D}"/>
  <tableColumns count="1">
    <tableColumn id="1" xr3:uid="{99BBBDFF-427B-4AA0-AD5A-4AB27C852F7E}" name="Categor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f02930040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285054"/>
      </a:accent1>
      <a:accent2>
        <a:srgbClr val="E6B52A"/>
      </a:accent2>
      <a:accent3>
        <a:srgbClr val="69AB90"/>
      </a:accent3>
      <a:accent4>
        <a:srgbClr val="5E9C9C"/>
      </a:accent4>
      <a:accent5>
        <a:srgbClr val="F0FCFB"/>
      </a:accent5>
      <a:accent6>
        <a:srgbClr val="A7E3C1"/>
      </a:accent6>
      <a:hlink>
        <a:srgbClr val="0563C1"/>
      </a:hlink>
      <a:folHlink>
        <a:srgbClr val="954F72"/>
      </a:folHlink>
    </a:clrScheme>
    <a:fontScheme name="ION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74EE-2520-4408-A192-E24AB1979E48}">
  <dimension ref="A1:G6"/>
  <sheetViews>
    <sheetView workbookViewId="0">
      <selection activeCell="F5" sqref="F5"/>
    </sheetView>
  </sheetViews>
  <sheetFormatPr defaultRowHeight="14.6" x14ac:dyDescent="0.35"/>
  <cols>
    <col min="1" max="1" width="16.640625" bestFit="1" customWidth="1"/>
    <col min="2" max="2" width="15.640625" bestFit="1" customWidth="1"/>
    <col min="3" max="3" width="9.2109375" bestFit="1" customWidth="1"/>
    <col min="4" max="4" width="11.42578125" bestFit="1" customWidth="1"/>
    <col min="5" max="5" width="34.140625" bestFit="1" customWidth="1"/>
    <col min="6" max="6" width="9.2109375" bestFit="1" customWidth="1"/>
    <col min="7" max="7" width="13.640625" bestFit="1" customWidth="1"/>
  </cols>
  <sheetData>
    <row r="1" spans="1:7" ht="54.9" x14ac:dyDescent="0.35">
      <c r="A1" s="117" t="s">
        <v>218</v>
      </c>
    </row>
    <row r="3" spans="1:7" x14ac:dyDescent="0.35">
      <c r="A3" t="s">
        <v>28</v>
      </c>
      <c r="B3" t="s">
        <v>22</v>
      </c>
      <c r="C3" t="s">
        <v>14</v>
      </c>
      <c r="D3" t="s">
        <v>29</v>
      </c>
      <c r="E3" t="s">
        <v>27</v>
      </c>
      <c r="F3" t="s">
        <v>9</v>
      </c>
      <c r="G3" t="s">
        <v>44</v>
      </c>
    </row>
    <row r="4" spans="1:7" x14ac:dyDescent="0.35">
      <c r="A4" t="s">
        <v>40</v>
      </c>
      <c r="B4" t="s">
        <v>151</v>
      </c>
      <c r="C4" t="s">
        <v>34</v>
      </c>
      <c r="D4" t="s">
        <v>143</v>
      </c>
      <c r="E4" t="s">
        <v>186</v>
      </c>
      <c r="F4">
        <v>88.7</v>
      </c>
      <c r="G4" t="s">
        <v>113</v>
      </c>
    </row>
    <row r="5" spans="1:7" x14ac:dyDescent="0.35">
      <c r="A5" t="s">
        <v>75</v>
      </c>
      <c r="B5">
        <v>21</v>
      </c>
      <c r="C5" t="s">
        <v>34</v>
      </c>
      <c r="D5" t="s">
        <v>117</v>
      </c>
      <c r="E5" t="s">
        <v>82</v>
      </c>
      <c r="F5">
        <v>26.3</v>
      </c>
      <c r="G5" t="s">
        <v>113</v>
      </c>
    </row>
    <row r="6" spans="1:7" x14ac:dyDescent="0.35">
      <c r="A6" t="s">
        <v>38</v>
      </c>
      <c r="B6">
        <v>7</v>
      </c>
      <c r="C6" t="s">
        <v>34</v>
      </c>
      <c r="D6" t="s">
        <v>140</v>
      </c>
      <c r="E6" t="s">
        <v>39</v>
      </c>
      <c r="F6">
        <v>12.43</v>
      </c>
      <c r="G6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A72E-1100-4FF2-A8C0-E50AFE8435DF}">
  <dimension ref="A1:G13"/>
  <sheetViews>
    <sheetView workbookViewId="0">
      <selection activeCell="F8" sqref="F8"/>
    </sheetView>
  </sheetViews>
  <sheetFormatPr defaultRowHeight="14.6" x14ac:dyDescent="0.35"/>
  <cols>
    <col min="1" max="1" width="16.640625" bestFit="1" customWidth="1"/>
    <col min="2" max="2" width="15.640625" bestFit="1" customWidth="1"/>
    <col min="3" max="3" width="9.2109375" bestFit="1" customWidth="1"/>
    <col min="4" max="4" width="11.42578125" bestFit="1" customWidth="1"/>
    <col min="5" max="5" width="39.78515625" bestFit="1" customWidth="1"/>
    <col min="6" max="6" width="9.2109375" bestFit="1" customWidth="1"/>
    <col min="7" max="7" width="13.640625" bestFit="1" customWidth="1"/>
  </cols>
  <sheetData>
    <row r="1" spans="1:7" ht="54.9" x14ac:dyDescent="0.35">
      <c r="A1" s="117" t="s">
        <v>228</v>
      </c>
    </row>
    <row r="3" spans="1:7" x14ac:dyDescent="0.35">
      <c r="A3" t="s">
        <v>28</v>
      </c>
      <c r="B3" t="s">
        <v>22</v>
      </c>
      <c r="C3" t="s">
        <v>14</v>
      </c>
      <c r="D3" t="s">
        <v>29</v>
      </c>
      <c r="E3" t="s">
        <v>27</v>
      </c>
      <c r="F3" t="s">
        <v>9</v>
      </c>
      <c r="G3" t="s">
        <v>44</v>
      </c>
    </row>
    <row r="4" spans="1:7" x14ac:dyDescent="0.35">
      <c r="A4" t="s">
        <v>40</v>
      </c>
      <c r="B4" t="s">
        <v>151</v>
      </c>
      <c r="C4" t="s">
        <v>34</v>
      </c>
      <c r="D4" t="s">
        <v>142</v>
      </c>
      <c r="E4" t="s">
        <v>206</v>
      </c>
      <c r="F4">
        <v>81.22</v>
      </c>
      <c r="G4" t="s">
        <v>61</v>
      </c>
    </row>
    <row r="5" spans="1:7" x14ac:dyDescent="0.35">
      <c r="A5" t="s">
        <v>40</v>
      </c>
      <c r="B5" t="s">
        <v>151</v>
      </c>
      <c r="C5" t="s">
        <v>34</v>
      </c>
      <c r="D5" t="s">
        <v>90</v>
      </c>
      <c r="E5" t="s">
        <v>205</v>
      </c>
      <c r="F5">
        <v>9.9</v>
      </c>
      <c r="G5" t="s">
        <v>61</v>
      </c>
    </row>
    <row r="6" spans="1:7" x14ac:dyDescent="0.35">
      <c r="A6" t="s">
        <v>40</v>
      </c>
      <c r="B6" t="s">
        <v>151</v>
      </c>
      <c r="C6" t="s">
        <v>34</v>
      </c>
      <c r="D6" t="s">
        <v>99</v>
      </c>
      <c r="E6" t="s">
        <v>202</v>
      </c>
      <c r="F6">
        <v>69</v>
      </c>
      <c r="G6" t="s">
        <v>61</v>
      </c>
    </row>
    <row r="7" spans="1:7" x14ac:dyDescent="0.35">
      <c r="A7" t="s">
        <v>40</v>
      </c>
      <c r="B7" t="s">
        <v>151</v>
      </c>
      <c r="C7" t="s">
        <v>34</v>
      </c>
      <c r="D7" t="s">
        <v>143</v>
      </c>
      <c r="E7" t="s">
        <v>197</v>
      </c>
      <c r="F7">
        <v>124.99</v>
      </c>
      <c r="G7" t="s">
        <v>61</v>
      </c>
    </row>
    <row r="8" spans="1:7" x14ac:dyDescent="0.35">
      <c r="A8" t="s">
        <v>40</v>
      </c>
      <c r="B8" t="s">
        <v>151</v>
      </c>
      <c r="C8" t="s">
        <v>34</v>
      </c>
      <c r="D8" t="s">
        <v>143</v>
      </c>
      <c r="E8" t="s">
        <v>224</v>
      </c>
      <c r="F8">
        <v>63.8</v>
      </c>
      <c r="G8" t="s">
        <v>61</v>
      </c>
    </row>
    <row r="9" spans="1:7" x14ac:dyDescent="0.35">
      <c r="A9" t="s">
        <v>40</v>
      </c>
      <c r="B9" t="s">
        <v>151</v>
      </c>
      <c r="C9" t="s">
        <v>34</v>
      </c>
      <c r="D9" t="s">
        <v>145</v>
      </c>
      <c r="E9" t="s">
        <v>191</v>
      </c>
      <c r="F9">
        <v>51.98</v>
      </c>
      <c r="G9" t="s">
        <v>61</v>
      </c>
    </row>
    <row r="10" spans="1:7" x14ac:dyDescent="0.35">
      <c r="A10" t="s">
        <v>40</v>
      </c>
      <c r="B10" t="s">
        <v>151</v>
      </c>
      <c r="C10" t="s">
        <v>34</v>
      </c>
      <c r="D10" t="s">
        <v>143</v>
      </c>
      <c r="E10" t="s">
        <v>226</v>
      </c>
      <c r="F10">
        <v>119.9</v>
      </c>
      <c r="G10" t="s">
        <v>61</v>
      </c>
    </row>
    <row r="11" spans="1:7" x14ac:dyDescent="0.35">
      <c r="A11" t="s">
        <v>40</v>
      </c>
      <c r="B11" t="s">
        <v>151</v>
      </c>
      <c r="C11" t="s">
        <v>34</v>
      </c>
      <c r="D11" t="s">
        <v>143</v>
      </c>
      <c r="E11" t="s">
        <v>216</v>
      </c>
      <c r="F11">
        <v>495.62</v>
      </c>
      <c r="G11" t="s">
        <v>61</v>
      </c>
    </row>
    <row r="12" spans="1:7" x14ac:dyDescent="0.35">
      <c r="A12" t="s">
        <v>38</v>
      </c>
      <c r="B12" t="s">
        <v>144</v>
      </c>
      <c r="C12" t="s">
        <v>34</v>
      </c>
      <c r="D12" t="s">
        <v>99</v>
      </c>
      <c r="E12" t="s">
        <v>149</v>
      </c>
      <c r="F12">
        <v>52.629999999999995</v>
      </c>
      <c r="G12" t="s">
        <v>61</v>
      </c>
    </row>
    <row r="13" spans="1:7" x14ac:dyDescent="0.35">
      <c r="A13" t="s">
        <v>38</v>
      </c>
      <c r="B13">
        <v>7</v>
      </c>
      <c r="C13" t="s">
        <v>34</v>
      </c>
      <c r="D13" t="s">
        <v>141</v>
      </c>
      <c r="E13" t="s">
        <v>119</v>
      </c>
      <c r="F13">
        <v>64.2</v>
      </c>
      <c r="G13" t="s">
        <v>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3692-3BB2-45D3-A713-40BA48246197}">
  <dimension ref="A1:G8"/>
  <sheetViews>
    <sheetView workbookViewId="0">
      <selection activeCell="A8" sqref="A8"/>
    </sheetView>
  </sheetViews>
  <sheetFormatPr defaultRowHeight="14.6" x14ac:dyDescent="0.35"/>
  <cols>
    <col min="1" max="1" width="10.78515625" bestFit="1" customWidth="1"/>
    <col min="2" max="2" width="15.640625" bestFit="1" customWidth="1"/>
    <col min="3" max="3" width="9.2109375" bestFit="1" customWidth="1"/>
    <col min="4" max="4" width="11.42578125" bestFit="1" customWidth="1"/>
    <col min="5" max="5" width="38.92578125" bestFit="1" customWidth="1"/>
    <col min="6" max="6" width="9.2109375" bestFit="1" customWidth="1"/>
    <col min="7" max="7" width="13.640625" bestFit="1" customWidth="1"/>
  </cols>
  <sheetData>
    <row r="1" spans="1:7" ht="82.3" x14ac:dyDescent="0.35">
      <c r="A1" s="117" t="s">
        <v>229</v>
      </c>
    </row>
    <row r="3" spans="1:7" x14ac:dyDescent="0.35">
      <c r="A3" t="s">
        <v>28</v>
      </c>
      <c r="B3" t="s">
        <v>22</v>
      </c>
      <c r="C3" t="s">
        <v>14</v>
      </c>
      <c r="D3" t="s">
        <v>29</v>
      </c>
      <c r="E3" t="s">
        <v>27</v>
      </c>
      <c r="F3" t="s">
        <v>9</v>
      </c>
      <c r="G3" t="s">
        <v>44</v>
      </c>
    </row>
    <row r="4" spans="1:7" x14ac:dyDescent="0.35">
      <c r="A4" t="s">
        <v>40</v>
      </c>
      <c r="B4" t="s">
        <v>151</v>
      </c>
      <c r="C4" t="s">
        <v>34</v>
      </c>
      <c r="D4" t="s">
        <v>215</v>
      </c>
      <c r="E4" t="s">
        <v>219</v>
      </c>
      <c r="F4">
        <v>56.18</v>
      </c>
      <c r="G4" t="s">
        <v>56</v>
      </c>
    </row>
    <row r="5" spans="1:7" x14ac:dyDescent="0.35">
      <c r="A5" t="s">
        <v>40</v>
      </c>
      <c r="B5" t="s">
        <v>151</v>
      </c>
      <c r="C5" t="s">
        <v>34</v>
      </c>
      <c r="D5" t="s">
        <v>143</v>
      </c>
      <c r="E5" t="s">
        <v>192</v>
      </c>
      <c r="F5">
        <v>630.74</v>
      </c>
      <c r="G5" t="s">
        <v>56</v>
      </c>
    </row>
    <row r="6" spans="1:7" x14ac:dyDescent="0.35">
      <c r="A6" t="s">
        <v>40</v>
      </c>
      <c r="B6" t="s">
        <v>151</v>
      </c>
      <c r="C6" t="s">
        <v>34</v>
      </c>
      <c r="D6" t="s">
        <v>143</v>
      </c>
      <c r="E6" t="s">
        <v>171</v>
      </c>
      <c r="F6">
        <v>17.5</v>
      </c>
      <c r="G6" t="s">
        <v>56</v>
      </c>
    </row>
    <row r="7" spans="1:7" x14ac:dyDescent="0.35">
      <c r="A7" t="s">
        <v>40</v>
      </c>
      <c r="B7" t="s">
        <v>151</v>
      </c>
      <c r="C7" t="s">
        <v>34</v>
      </c>
      <c r="D7" t="s">
        <v>145</v>
      </c>
      <c r="E7" t="s">
        <v>152</v>
      </c>
      <c r="F7">
        <v>472.23</v>
      </c>
      <c r="G7" t="s">
        <v>56</v>
      </c>
    </row>
    <row r="8" spans="1:7" x14ac:dyDescent="0.35">
      <c r="A8" t="s">
        <v>75</v>
      </c>
      <c r="B8">
        <v>21</v>
      </c>
      <c r="C8" t="s">
        <v>34</v>
      </c>
      <c r="D8" t="s">
        <v>68</v>
      </c>
      <c r="E8" t="s">
        <v>106</v>
      </c>
      <c r="F8">
        <v>630.74</v>
      </c>
      <c r="G8" t="s">
        <v>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38BA0"/>
    <pageSetUpPr autoPageBreaks="0" fitToPage="1"/>
  </sheetPr>
  <dimension ref="B1:Q50"/>
  <sheetViews>
    <sheetView showGridLines="0" topLeftCell="A3" zoomScale="160" zoomScaleNormal="160" workbookViewId="0">
      <selection activeCell="C12" sqref="C12"/>
    </sheetView>
  </sheetViews>
  <sheetFormatPr defaultColWidth="8.7109375" defaultRowHeight="30" customHeight="1" x14ac:dyDescent="0.35"/>
  <cols>
    <col min="1" max="1" width="2.42578125" customWidth="1"/>
    <col min="2" max="2" width="54.7109375" customWidth="1"/>
    <col min="3" max="3" width="21.5" style="6" customWidth="1"/>
    <col min="4" max="4" width="60.5" customWidth="1"/>
    <col min="5" max="5" width="2.42578125" customWidth="1"/>
    <col min="6" max="6" width="9" customWidth="1"/>
    <col min="7" max="7" width="19.0703125" bestFit="1" customWidth="1"/>
    <col min="8" max="8" width="12.35546875" bestFit="1" customWidth="1"/>
    <col min="9" max="9" width="8.7109375" customWidth="1"/>
    <col min="10" max="10" width="9.7109375" bestFit="1" customWidth="1"/>
  </cols>
  <sheetData>
    <row r="1" spans="2:17" ht="14.6" x14ac:dyDescent="0.35">
      <c r="D1" s="3">
        <f ca="1">YEAR(TODAY())</f>
        <v>2026</v>
      </c>
      <c r="G1" s="58" t="s">
        <v>14</v>
      </c>
      <c r="H1" t="s">
        <v>34</v>
      </c>
    </row>
    <row r="2" spans="2:17" ht="48.9" thickBot="1" x14ac:dyDescent="0.4">
      <c r="B2" s="22" t="s">
        <v>0</v>
      </c>
      <c r="C2" s="22" t="s">
        <v>88</v>
      </c>
      <c r="D2" s="22"/>
      <c r="E2" s="22"/>
      <c r="F2" s="56"/>
      <c r="J2" s="56"/>
      <c r="K2" s="56"/>
      <c r="L2" s="56"/>
      <c r="M2" s="56"/>
      <c r="N2" s="56"/>
      <c r="O2" s="56"/>
      <c r="P2" s="56"/>
      <c r="Q2" s="56"/>
    </row>
    <row r="3" spans="2:17" ht="29.6" thickTop="1" x14ac:dyDescent="0.35">
      <c r="B3" s="23" t="s">
        <v>1</v>
      </c>
      <c r="C3" s="24"/>
      <c r="D3" s="2"/>
      <c r="F3" s="56"/>
      <c r="G3" s="93" t="s">
        <v>65</v>
      </c>
      <c r="H3" s="93" t="s">
        <v>64</v>
      </c>
      <c r="J3" s="56"/>
      <c r="K3" s="56"/>
      <c r="L3" s="56"/>
      <c r="M3" s="56"/>
      <c r="N3" s="56"/>
      <c r="O3" s="56"/>
      <c r="P3" s="56"/>
      <c r="Q3" s="56"/>
    </row>
    <row r="4" spans="2:17" ht="15" thickBot="1" x14ac:dyDescent="0.4">
      <c r="B4" s="5"/>
      <c r="C4" s="7"/>
      <c r="D4" s="2"/>
      <c r="F4" s="56"/>
      <c r="G4" s="42" t="s">
        <v>62</v>
      </c>
      <c r="H4" s="43">
        <v>1216.0700000000002</v>
      </c>
      <c r="J4" s="56"/>
      <c r="K4" s="56"/>
      <c r="L4" s="56"/>
      <c r="M4" s="56"/>
      <c r="N4" s="56"/>
      <c r="O4" s="56"/>
      <c r="P4" s="56"/>
      <c r="Q4" s="56"/>
    </row>
    <row r="5" spans="2:17" ht="31.75" thickBot="1" x14ac:dyDescent="0.4">
      <c r="B5" s="33">
        <f>TotalMensaldeDespesas +C10</f>
        <v>21206.750000000007</v>
      </c>
      <c r="C5" s="9">
        <f>(TotalMensaldeDespesas + C10) /TotalMensaldeRenda</f>
        <v>0.77811571007243729</v>
      </c>
      <c r="D5" s="2"/>
      <c r="F5" s="56"/>
      <c r="G5" s="42" t="s">
        <v>56</v>
      </c>
      <c r="H5" s="43">
        <v>1176.6500000000001</v>
      </c>
      <c r="J5" s="56"/>
      <c r="K5" s="56"/>
      <c r="L5" s="56"/>
      <c r="M5" s="56"/>
      <c r="N5" s="56"/>
      <c r="O5" s="56"/>
      <c r="P5" s="56"/>
      <c r="Q5" s="56"/>
    </row>
    <row r="6" spans="2:17" ht="15" thickBot="1" x14ac:dyDescent="0.4">
      <c r="B6" s="1"/>
      <c r="C6" s="8"/>
      <c r="D6" s="2"/>
      <c r="F6" s="56"/>
      <c r="G6" s="42" t="s">
        <v>47</v>
      </c>
      <c r="H6" s="43">
        <v>1103.57</v>
      </c>
      <c r="J6" s="56"/>
      <c r="K6" s="56"/>
      <c r="L6" s="56"/>
      <c r="M6" s="56"/>
      <c r="N6" s="56"/>
      <c r="O6" s="56"/>
      <c r="P6" s="56"/>
      <c r="Q6" s="56"/>
    </row>
    <row r="7" spans="2:17" ht="17.149999999999999" x14ac:dyDescent="0.35">
      <c r="B7" s="119" t="s">
        <v>2</v>
      </c>
      <c r="C7" s="119"/>
      <c r="D7" s="2"/>
      <c r="F7" s="56"/>
      <c r="G7" s="42" t="s">
        <v>61</v>
      </c>
      <c r="H7" s="43">
        <v>1080.6100000000001</v>
      </c>
      <c r="J7" s="56"/>
      <c r="K7" s="56"/>
      <c r="L7" s="56"/>
      <c r="M7" s="56"/>
      <c r="N7" s="56"/>
      <c r="O7" s="56"/>
      <c r="P7" s="56"/>
      <c r="Q7" s="56"/>
    </row>
    <row r="8" spans="2:17" ht="15" thickBot="1" x14ac:dyDescent="0.4">
      <c r="B8" s="4" t="s">
        <v>3</v>
      </c>
      <c r="C8" s="11">
        <f>TotalMensaldeRenda</f>
        <v>27253.980000000003</v>
      </c>
      <c r="D8" s="2"/>
      <c r="F8" s="56"/>
      <c r="G8" s="42" t="s">
        <v>54</v>
      </c>
      <c r="H8" s="43">
        <v>971.89</v>
      </c>
      <c r="J8" s="56"/>
      <c r="K8" s="56"/>
      <c r="L8" s="56"/>
      <c r="M8" s="56"/>
      <c r="N8" s="56"/>
      <c r="O8" s="56"/>
      <c r="P8" s="56"/>
      <c r="Q8" s="56"/>
    </row>
    <row r="9" spans="2:17" s="14" customFormat="1" ht="15" thickBot="1" x14ac:dyDescent="0.4">
      <c r="B9" s="16" t="s">
        <v>4</v>
      </c>
      <c r="C9" s="17">
        <f>TotalMensaldeDespesas</f>
        <v>2636.4500000000003</v>
      </c>
      <c r="D9" s="15"/>
      <c r="F9" s="57"/>
      <c r="G9" s="42" t="s">
        <v>45</v>
      </c>
      <c r="H9" s="43">
        <v>609.63999999999987</v>
      </c>
      <c r="I9"/>
      <c r="J9" s="57"/>
      <c r="K9" s="57"/>
      <c r="L9" s="57"/>
      <c r="M9" s="57"/>
      <c r="N9" s="57"/>
      <c r="O9" s="57"/>
      <c r="P9" s="57"/>
      <c r="Q9" s="57"/>
    </row>
    <row r="10" spans="2:17" s="14" customFormat="1" ht="15" thickBot="1" x14ac:dyDescent="0.4">
      <c r="B10" s="16" t="s">
        <v>5</v>
      </c>
      <c r="C10" s="17">
        <f>SUM('Cartões'!F3)</f>
        <v>18570.300000000007</v>
      </c>
      <c r="D10" s="15"/>
      <c r="F10" s="57"/>
      <c r="G10" s="42" t="s">
        <v>52</v>
      </c>
      <c r="H10" s="43">
        <v>429</v>
      </c>
      <c r="I10"/>
      <c r="J10" s="57"/>
      <c r="K10" s="57"/>
      <c r="L10" s="57"/>
      <c r="M10" s="57"/>
      <c r="N10" s="57"/>
      <c r="O10" s="57"/>
      <c r="P10" s="57"/>
      <c r="Q10" s="57"/>
    </row>
    <row r="11" spans="2:17" ht="15" thickBot="1" x14ac:dyDescent="0.4">
      <c r="D11" s="2"/>
      <c r="F11" s="56"/>
      <c r="G11" s="42" t="s">
        <v>59</v>
      </c>
      <c r="H11" s="43">
        <v>387.25</v>
      </c>
      <c r="J11" s="56"/>
      <c r="K11" s="56"/>
      <c r="L11" s="56"/>
      <c r="M11" s="56"/>
      <c r="N11" s="56"/>
      <c r="O11" s="56"/>
      <c r="P11" s="56"/>
      <c r="Q11" s="56"/>
    </row>
    <row r="12" spans="2:17" ht="17.600000000000001" thickBot="1" x14ac:dyDescent="0.4">
      <c r="B12" s="25" t="s">
        <v>6</v>
      </c>
      <c r="C12" s="12">
        <f>TotalMensaldeRenda-C9-C10</f>
        <v>6047.2299999999959</v>
      </c>
      <c r="D12" s="2"/>
      <c r="F12" s="56"/>
      <c r="G12" s="42" t="s">
        <v>60</v>
      </c>
      <c r="H12" s="43">
        <v>312.46999999999997</v>
      </c>
      <c r="J12" s="56"/>
      <c r="K12" s="56"/>
      <c r="L12" s="57"/>
      <c r="M12" s="56"/>
      <c r="N12" s="56"/>
      <c r="O12" s="56"/>
      <c r="P12" s="56"/>
      <c r="Q12" s="56"/>
    </row>
    <row r="13" spans="2:17" ht="14.6" x14ac:dyDescent="0.35">
      <c r="F13" s="56"/>
      <c r="G13" s="42" t="s">
        <v>122</v>
      </c>
      <c r="H13" s="43">
        <v>310</v>
      </c>
      <c r="J13" s="56"/>
      <c r="K13" s="56"/>
      <c r="L13" s="56"/>
      <c r="M13" s="56"/>
      <c r="N13" s="56"/>
      <c r="O13" s="56"/>
      <c r="P13" s="56"/>
      <c r="Q13" s="56"/>
    </row>
    <row r="14" spans="2:17" ht="14.6" x14ac:dyDescent="0.35">
      <c r="F14" s="56"/>
      <c r="G14" s="42" t="s">
        <v>55</v>
      </c>
      <c r="H14" s="43">
        <v>266.55</v>
      </c>
      <c r="J14" s="56"/>
      <c r="K14" s="56"/>
      <c r="L14" s="56"/>
      <c r="M14" s="56"/>
      <c r="N14" s="56"/>
      <c r="O14" s="56"/>
      <c r="P14" s="56"/>
      <c r="Q14" s="56"/>
    </row>
    <row r="15" spans="2:17" ht="14.6" x14ac:dyDescent="0.35">
      <c r="F15" s="56"/>
      <c r="G15" s="42" t="s">
        <v>48</v>
      </c>
      <c r="H15" s="43">
        <v>265.83</v>
      </c>
      <c r="J15" s="56"/>
      <c r="K15" s="56"/>
      <c r="L15" s="56"/>
      <c r="M15" s="56"/>
      <c r="N15" s="56"/>
      <c r="O15" s="56"/>
      <c r="P15" s="56"/>
      <c r="Q15" s="56"/>
    </row>
    <row r="16" spans="2:17" ht="14.6" x14ac:dyDescent="0.35">
      <c r="G16" s="42" t="s">
        <v>217</v>
      </c>
      <c r="H16" s="43">
        <v>261.3</v>
      </c>
    </row>
    <row r="17" spans="4:9" ht="14.6" x14ac:dyDescent="0.35">
      <c r="D17" s="6"/>
      <c r="G17" s="42" t="s">
        <v>46</v>
      </c>
      <c r="H17" s="43">
        <v>189.11</v>
      </c>
    </row>
    <row r="18" spans="4:9" ht="15.45" x14ac:dyDescent="0.35">
      <c r="D18" s="10"/>
      <c r="G18" s="42" t="s">
        <v>113</v>
      </c>
      <c r="H18" s="43">
        <v>184.43</v>
      </c>
      <c r="I18" s="14"/>
    </row>
    <row r="19" spans="4:9" ht="14.6" x14ac:dyDescent="0.35">
      <c r="G19" s="42" t="s">
        <v>112</v>
      </c>
      <c r="H19" s="43">
        <v>135.35</v>
      </c>
    </row>
    <row r="20" spans="4:9" ht="14.6" x14ac:dyDescent="0.35">
      <c r="G20" s="42" t="s">
        <v>57</v>
      </c>
      <c r="H20" s="43">
        <v>48.6</v>
      </c>
    </row>
    <row r="21" spans="4:9" ht="14.6" x14ac:dyDescent="0.35">
      <c r="G21" s="94" t="s">
        <v>66</v>
      </c>
      <c r="H21" s="95">
        <v>8948.32</v>
      </c>
    </row>
    <row r="22" spans="4:9" ht="14.6" x14ac:dyDescent="0.35"/>
    <row r="23" spans="4:9" ht="14.6" x14ac:dyDescent="0.35"/>
    <row r="24" spans="4:9" ht="14.6" x14ac:dyDescent="0.35"/>
    <row r="25" spans="4:9" ht="14.6" x14ac:dyDescent="0.35"/>
    <row r="26" spans="4:9" ht="14.6" x14ac:dyDescent="0.35"/>
    <row r="27" spans="4:9" ht="14.6" x14ac:dyDescent="0.35"/>
    <row r="28" spans="4:9" ht="14.6" x14ac:dyDescent="0.35"/>
    <row r="29" spans="4:9" ht="14.6" x14ac:dyDescent="0.35"/>
    <row r="30" spans="4:9" ht="14.6" x14ac:dyDescent="0.35"/>
    <row r="31" spans="4:9" ht="14.6" x14ac:dyDescent="0.35"/>
    <row r="32" spans="4:9" ht="14.6" x14ac:dyDescent="0.35"/>
    <row r="33" ht="14.6" x14ac:dyDescent="0.35"/>
    <row r="34" ht="14.6" x14ac:dyDescent="0.35"/>
    <row r="35" ht="14.6" x14ac:dyDescent="0.35"/>
    <row r="36" ht="14.6" x14ac:dyDescent="0.35"/>
    <row r="37" ht="14.6" x14ac:dyDescent="0.35"/>
    <row r="38" ht="14.6" x14ac:dyDescent="0.35"/>
    <row r="39" ht="14.6" x14ac:dyDescent="0.35"/>
    <row r="40" ht="14.6" x14ac:dyDescent="0.35"/>
    <row r="41" ht="14.6" x14ac:dyDescent="0.35"/>
    <row r="42" ht="14.6" x14ac:dyDescent="0.35"/>
    <row r="43" ht="14.6" x14ac:dyDescent="0.35"/>
    <row r="44" ht="14.6" x14ac:dyDescent="0.35"/>
    <row r="45" ht="14.6" x14ac:dyDescent="0.35"/>
    <row r="46" ht="14.6" x14ac:dyDescent="0.35"/>
    <row r="47" ht="14.6" x14ac:dyDescent="0.35"/>
    <row r="48" ht="14.6" x14ac:dyDescent="0.35"/>
    <row r="49" ht="14.6" x14ac:dyDescent="0.35"/>
    <row r="50" ht="14.6" x14ac:dyDescent="0.35"/>
  </sheetData>
  <mergeCells count="1">
    <mergeCell ref="B7:C7"/>
  </mergeCells>
  <conditionalFormatting sqref="B5">
    <cfRule type="dataBar" priority="6">
      <dataBar showValue="0">
        <cfvo type="num" val="0"/>
        <cfvo type="num" val="TotalMensaldeRenda"/>
        <color rgb="FFFFBCBC"/>
      </dataBar>
      <extLst>
        <ext xmlns:x14="http://schemas.microsoft.com/office/spreadsheetml/2009/9/main" uri="{B025F937-C7B1-47D3-B67F-A62EFF666E3E}">
          <x14:id>{24C4A4E8-E0A5-44E6-A920-4BA8985B0684}</x14:id>
        </ext>
      </extLst>
    </cfRule>
  </conditionalFormatting>
  <conditionalFormatting sqref="C5">
    <cfRule type="cellIs" dxfId="2" priority="4" operator="greaterThan">
      <formula>1</formula>
    </cfRule>
  </conditionalFormatting>
  <conditionalFormatting sqref="C12">
    <cfRule type="cellIs" dxfId="1" priority="2" operator="lessThan">
      <formula>0</formula>
    </cfRule>
  </conditionalFormatting>
  <conditionalFormatting sqref="D1">
    <cfRule type="notContainsBlanks" dxfId="0" priority="5">
      <formula>LEN(TRIM(D1))&gt;0</formula>
    </cfRule>
  </conditionalFormatting>
  <dataValidations count="15">
    <dataValidation allowBlank="1" showInputMessage="1" showErrorMessage="1" prompt="Crie um orçamento mensal simples nesta pasta de trabalho. Os gráficos de colunas agrupadas e resumo do orçamento são atualizados automaticamente a partir das planilhas de Despesas e receitas mensais. Digite o ano do orçamento na célula D1." sqref="A1" xr:uid="{00000000-0002-0000-0000-000000000000}"/>
    <dataValidation allowBlank="1" showInputMessage="1" showErrorMessage="1" prompt="Digite o ano do orçamento na célula D1. O título desta planilha está na célula abaixo." sqref="B1" xr:uid="{00000000-0002-0000-0000-000001000000}"/>
    <dataValidation allowBlank="1" showInputMessage="1" showErrorMessage="1" prompt="Digite o ano do orçamento nesta célula." sqref="D1" xr:uid="{00000000-0002-0000-0000-000002000000}"/>
    <dataValidation allowBlank="1" showInputMessage="1" showErrorMessage="1" prompt="O título desta planilha está nesta célula. Insira a renda mensal na planilha de renda mensal e as despesas mensais na planilha de despesas mensais." sqref="B2" xr:uid="{00000000-0002-0000-0000-000003000000}"/>
    <dataValidation allowBlank="1" showInputMessage="1" showErrorMessage="1" prompt="Receita mensal total, Despesa mensal total e Saldo são atualizados automaticamente nas células abaixo." sqref="B7:C7" xr:uid="{00000000-0002-0000-0000-000004000000}"/>
    <dataValidation allowBlank="1" showInputMessage="1" showErrorMessage="1" prompt="Despesa mensal total é atualizada automaticamente na célula à direita." sqref="B9:B10" xr:uid="{00000000-0002-0000-0000-000005000000}"/>
    <dataValidation allowBlank="1" showInputMessage="1" showErrorMessage="1" prompt="Despesa mensal total é atualizada automaticamente nesta célula." sqref="C9:C10" xr:uid="{00000000-0002-0000-0000-000006000000}"/>
    <dataValidation allowBlank="1" showInputMessage="1" showErrorMessage="1" prompt="Receita mensal total é atualizada automaticamente na célula à direita." sqref="B8" xr:uid="{00000000-0002-0000-0000-000007000000}"/>
    <dataValidation allowBlank="1" showInputMessage="1" showErrorMessage="1" prompt="Receita mensal total é atualizada automaticamente nesta célula." sqref="C8" xr:uid="{00000000-0002-0000-0000-000008000000}"/>
    <dataValidation allowBlank="1" showInputMessage="1" showErrorMessage="1" prompt="O saldo é calculado automaticamente na célula à direita." sqref="B12" xr:uid="{00000000-0002-0000-0000-000009000000}"/>
    <dataValidation allowBlank="1" showInputMessage="1" showErrorMessage="1" prompt="O saldo é calculado automaticamente nesta célula." sqref="C12" xr:uid="{00000000-0002-0000-0000-00000A000000}"/>
    <dataValidation allowBlank="1" showInputMessage="1" showErrorMessage="1" prompt="Nesta célula está a Barra de dados exibindo o Percentual de receita gasta." sqref="B5" xr:uid="{00000000-0002-0000-0000-00000B000000}"/>
    <dataValidation allowBlank="1" showInputMessage="1" showErrorMessage="1" prompt="Nesta célula está o Percentual de receita gasta" sqref="C5" xr:uid="{00000000-0002-0000-0000-00000C000000}"/>
    <dataValidation allowBlank="1" showInputMessage="1" showErrorMessage="1" prompt="O Percentual de receita gasta está nas células abaixo." sqref="B3:B4 C4" xr:uid="{00000000-0002-0000-0000-00000D000000}"/>
    <dataValidation allowBlank="1" showInputMessage="1" showErrorMessage="1" prompt="O gráfico de colunas clusterizado retratando as Receitas e Despesas mensais está nesta célula." sqref="D3:D4" xr:uid="{00000000-0002-0000-0000-00000E000000}"/>
  </dataValidations>
  <printOptions horizontalCentered="1"/>
  <pageMargins left="0.25" right="0.25" top="0.75" bottom="0.75" header="0.3" footer="0.3"/>
  <pageSetup paperSize="9" scale="60" fitToHeight="0" orientation="portrait" r:id="rId2"/>
  <headerFooter differentFirst="1">
    <oddFooter>Page &amp;P of &amp;N</oddFooter>
  </headerFooter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C4A4E8-E0A5-44E6-A920-4BA8985B0684}">
            <x14:dataBar minLength="0" maxLength="100" border="1" gradient="0">
              <x14:cfvo type="num">
                <xm:f>0</xm:f>
              </x14:cfvo>
              <x14:cfvo type="num">
                <xm:f>TotalMensaldeRenda</xm:f>
              </x14:cfvo>
              <x14:borderColor theme="0"/>
              <x14:negativeFill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EDF6E5"/>
    <pageSetUpPr autoPageBreaks="0" fitToPage="1"/>
  </sheetPr>
  <dimension ref="B1:H13"/>
  <sheetViews>
    <sheetView showGridLines="0" zoomScaleNormal="100" workbookViewId="0">
      <selection activeCell="C14" sqref="C14"/>
    </sheetView>
  </sheetViews>
  <sheetFormatPr defaultColWidth="8.7109375" defaultRowHeight="30" customHeight="1" x14ac:dyDescent="0.35"/>
  <cols>
    <col min="1" max="1" width="2.42578125" customWidth="1"/>
    <col min="2" max="2" width="54.7109375" customWidth="1"/>
    <col min="3" max="3" width="21.5" customWidth="1"/>
    <col min="4" max="4" width="2.42578125" customWidth="1"/>
    <col min="5" max="5" width="13.2109375" bestFit="1" customWidth="1"/>
    <col min="7" max="7" width="23.2109375" style="21" customWidth="1"/>
    <col min="8" max="8" width="13.5" bestFit="1" customWidth="1"/>
  </cols>
  <sheetData>
    <row r="1" spans="2:8" ht="15" customHeight="1" x14ac:dyDescent="0.35">
      <c r="G1"/>
    </row>
    <row r="2" spans="2:8" ht="60" customHeight="1" thickBot="1" x14ac:dyDescent="0.4">
      <c r="B2" s="120" t="s">
        <v>7</v>
      </c>
      <c r="C2" s="120"/>
      <c r="F2" s="38"/>
      <c r="G2" s="40" t="s">
        <v>17</v>
      </c>
      <c r="H2" s="41">
        <f>SUM(H4:H11)</f>
        <v>9741.98</v>
      </c>
    </row>
    <row r="3" spans="2:8" ht="30" customHeight="1" thickTop="1" thickBot="1" x14ac:dyDescent="0.4">
      <c r="B3" s="30" t="s">
        <v>8</v>
      </c>
      <c r="C3" s="30" t="s">
        <v>9</v>
      </c>
      <c r="F3" s="31" t="s">
        <v>14</v>
      </c>
      <c r="G3" s="31" t="s">
        <v>18</v>
      </c>
      <c r="H3" s="31" t="s">
        <v>9</v>
      </c>
    </row>
    <row r="4" spans="2:8" ht="30" customHeight="1" thickTop="1" x14ac:dyDescent="0.35">
      <c r="B4" s="26" t="s">
        <v>23</v>
      </c>
      <c r="C4" s="27">
        <v>5922</v>
      </c>
      <c r="F4" s="26" t="s">
        <v>16</v>
      </c>
      <c r="G4" s="26" t="s">
        <v>20</v>
      </c>
      <c r="H4" s="39">
        <f>'Cartões'!L4</f>
        <v>2937.97</v>
      </c>
    </row>
    <row r="5" spans="2:8" ht="30" customHeight="1" x14ac:dyDescent="0.35">
      <c r="B5" s="10" t="s">
        <v>24</v>
      </c>
      <c r="C5" s="13">
        <v>7750</v>
      </c>
      <c r="F5" s="10" t="s">
        <v>15</v>
      </c>
      <c r="G5" s="10" t="s">
        <v>21</v>
      </c>
      <c r="H5" s="19">
        <f>'Cartões'!K4</f>
        <v>157.34</v>
      </c>
    </row>
    <row r="6" spans="2:8" ht="30" customHeight="1" x14ac:dyDescent="0.35">
      <c r="B6" s="26" t="s">
        <v>10</v>
      </c>
      <c r="C6" s="27">
        <f>7680/2</f>
        <v>3840</v>
      </c>
      <c r="F6" s="26" t="s">
        <v>25</v>
      </c>
      <c r="G6" s="26" t="s">
        <v>26</v>
      </c>
      <c r="H6" s="39">
        <f>'Cartões'!M4</f>
        <v>6646.67</v>
      </c>
    </row>
    <row r="7" spans="2:8" ht="30" customHeight="1" x14ac:dyDescent="0.35">
      <c r="B7" s="10" t="s">
        <v>242</v>
      </c>
      <c r="C7" s="13">
        <f>SUM(H4:H5)</f>
        <v>3095.31</v>
      </c>
      <c r="F7" s="10"/>
      <c r="G7" s="10"/>
      <c r="H7" s="19"/>
    </row>
    <row r="8" spans="2:8" ht="30" customHeight="1" x14ac:dyDescent="0.35">
      <c r="B8" s="26" t="s">
        <v>79</v>
      </c>
      <c r="C8" s="27">
        <f>H6</f>
        <v>6646.67</v>
      </c>
      <c r="E8" s="19"/>
      <c r="F8" s="26"/>
      <c r="G8" s="26"/>
      <c r="H8" s="39"/>
    </row>
    <row r="9" spans="2:8" ht="30" customHeight="1" x14ac:dyDescent="0.35">
      <c r="F9" s="10"/>
      <c r="G9" s="10"/>
      <c r="H9" s="19"/>
    </row>
    <row r="10" spans="2:8" ht="30" customHeight="1" x14ac:dyDescent="0.35">
      <c r="F10" s="26"/>
      <c r="G10" s="26"/>
      <c r="H10" s="39"/>
    </row>
    <row r="11" spans="2:8" ht="30" customHeight="1" x14ac:dyDescent="0.35">
      <c r="F11" s="10"/>
      <c r="G11" s="10"/>
      <c r="H11" s="19"/>
    </row>
    <row r="12" spans="2:8" ht="30" customHeight="1" x14ac:dyDescent="0.35">
      <c r="F12" s="26"/>
      <c r="G12" s="26"/>
      <c r="H12" s="39"/>
    </row>
    <row r="13" spans="2:8" ht="30" customHeight="1" thickBot="1" x14ac:dyDescent="0.4">
      <c r="F13" s="20"/>
      <c r="G13" s="20"/>
      <c r="H13" s="20"/>
    </row>
  </sheetData>
  <mergeCells count="1">
    <mergeCell ref="B2:C2"/>
  </mergeCells>
  <dataValidations count="4">
    <dataValidation allowBlank="1" showInputMessage="1" showErrorMessage="1" prompt="Insira a Receita mensal nesta planilha." sqref="A2" xr:uid="{00000000-0002-0000-0100-000000000000}"/>
    <dataValidation allowBlank="1" showInputMessage="1" showErrorMessage="1" prompt="O título desta planilha está nesta célula." sqref="B2" xr:uid="{00000000-0002-0000-0100-000001000000}"/>
    <dataValidation allowBlank="1" showInputMessage="1" showErrorMessage="1" prompt="Insira os Itens de receita mensal na coluna sob este cabeçalho. Use filtros de cabeçalho para localizar entradas de itens específicos." sqref="B3" xr:uid="{00000000-0002-0000-0100-000002000000}"/>
    <dataValidation allowBlank="1" showInputMessage="1" showErrorMessage="1" prompt="Insira o Valor na coluna sob este cabeçalho." sqref="C3" xr:uid="{00000000-0002-0000-0100-000003000000}"/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B5EAEA"/>
    <pageSetUpPr autoPageBreaks="0" fitToPage="1"/>
  </sheetPr>
  <dimension ref="A1:G20"/>
  <sheetViews>
    <sheetView showGridLines="0" zoomScaleNormal="100" workbookViewId="0">
      <selection activeCell="C11" sqref="C11"/>
    </sheetView>
  </sheetViews>
  <sheetFormatPr defaultColWidth="8.7109375" defaultRowHeight="30" customHeight="1" x14ac:dyDescent="0.35"/>
  <cols>
    <col min="1" max="1" width="2.42578125" customWidth="1"/>
    <col min="2" max="2" width="54.7109375" customWidth="1"/>
    <col min="3" max="3" width="21.5" customWidth="1"/>
    <col min="4" max="4" width="11.2109375" bestFit="1" customWidth="1"/>
    <col min="5" max="5" width="29.7109375" customWidth="1"/>
    <col min="6" max="6" width="12.92578125" bestFit="1" customWidth="1"/>
    <col min="7" max="8" width="23.85546875" customWidth="1"/>
  </cols>
  <sheetData>
    <row r="1" spans="1:7" ht="15" customHeight="1" thickBot="1" x14ac:dyDescent="0.4"/>
    <row r="2" spans="1:7" ht="60" customHeight="1" x14ac:dyDescent="0.35">
      <c r="B2" s="121" t="s">
        <v>11</v>
      </c>
      <c r="C2" s="121"/>
      <c r="E2" s="122" t="s">
        <v>30</v>
      </c>
      <c r="F2" s="123"/>
    </row>
    <row r="3" spans="1:7" ht="30" customHeight="1" x14ac:dyDescent="0.35">
      <c r="B3" s="110" t="s">
        <v>8</v>
      </c>
      <c r="C3" s="29" t="s">
        <v>9</v>
      </c>
      <c r="E3" s="103" t="s">
        <v>150</v>
      </c>
      <c r="F3" s="104" t="s">
        <v>17</v>
      </c>
    </row>
    <row r="4" spans="1:7" ht="30" customHeight="1" x14ac:dyDescent="0.35">
      <c r="A4" s="109"/>
      <c r="B4" s="107" t="s">
        <v>12</v>
      </c>
      <c r="C4" s="111">
        <v>1879.49</v>
      </c>
      <c r="E4" s="97" t="str" cm="1">
        <f t="array" ref="E4:E13">_xlfn._xlws.SORT(_xlfn.UNIQUE(_xlfn._xlws.FILTER(CARTÕES[Cartão],(CARTÕES[Cartão]&lt;&gt;"")*(CARTÕES[Cartão]&lt;&gt;"-")*ISERROR(SEARCH("Boleto",CARTÕES[Cartão])))))</f>
        <v>Azul</v>
      </c>
      <c r="F4" s="98" cm="1">
        <f t="array" ref="F4:F13">SUMIF(CARTÕES[Cartão],_xlfn.ANCHORARRAY(E4),CARTÕES[Valor])</f>
        <v>11916.21</v>
      </c>
      <c r="G4" s="96"/>
    </row>
    <row r="5" spans="1:7" ht="30" customHeight="1" x14ac:dyDescent="0.35">
      <c r="A5" s="109"/>
      <c r="B5" s="107" t="s">
        <v>13</v>
      </c>
      <c r="C5" s="112">
        <v>0</v>
      </c>
      <c r="E5" s="99" t="str">
        <v>Carrefour Beto</v>
      </c>
      <c r="F5" s="100">
        <v>179.22</v>
      </c>
    </row>
    <row r="6" spans="1:7" ht="30" customHeight="1" x14ac:dyDescent="0.35">
      <c r="A6" s="109"/>
      <c r="B6" s="107"/>
      <c r="C6" s="112"/>
      <c r="E6" s="99" t="str">
        <v>Carrefour Lia</v>
      </c>
      <c r="F6" s="100">
        <v>167.28</v>
      </c>
      <c r="G6" s="96"/>
    </row>
    <row r="7" spans="1:7" ht="30" customHeight="1" x14ac:dyDescent="0.35">
      <c r="A7" s="109"/>
      <c r="B7" s="107" t="s">
        <v>19</v>
      </c>
      <c r="C7" s="112">
        <v>119.91</v>
      </c>
      <c r="E7" s="99" t="str">
        <v>Click Lia</v>
      </c>
      <c r="F7" s="100">
        <v>201.22</v>
      </c>
      <c r="G7" s="14"/>
    </row>
    <row r="8" spans="1:7" ht="30" customHeight="1" x14ac:dyDescent="0.35">
      <c r="B8" s="106" t="s">
        <v>63</v>
      </c>
      <c r="C8" s="112">
        <v>87.05</v>
      </c>
      <c r="E8" s="99" t="str">
        <v>Credicard Bet</v>
      </c>
      <c r="F8" s="100">
        <v>185.86</v>
      </c>
    </row>
    <row r="9" spans="1:7" ht="30" customHeight="1" x14ac:dyDescent="0.35">
      <c r="A9" s="109"/>
      <c r="B9" s="107" t="s">
        <v>77</v>
      </c>
      <c r="C9" s="112">
        <v>300</v>
      </c>
      <c r="E9" s="99" t="str">
        <v>Credicard Lia</v>
      </c>
      <c r="F9" s="100">
        <v>349.46000000000004</v>
      </c>
    </row>
    <row r="10" spans="1:7" ht="30" customHeight="1" x14ac:dyDescent="0.35">
      <c r="A10" s="109"/>
      <c r="B10" s="108" t="s">
        <v>78</v>
      </c>
      <c r="C10" s="113">
        <v>250</v>
      </c>
      <c r="E10" s="99" t="str">
        <v>Mercado Livre</v>
      </c>
      <c r="F10" s="100">
        <v>250.11</v>
      </c>
    </row>
    <row r="11" spans="1:7" ht="30" customHeight="1" x14ac:dyDescent="0.35">
      <c r="C11" s="105"/>
      <c r="E11" s="99" t="str">
        <v>Nubank Bet</v>
      </c>
      <c r="F11" s="100">
        <v>1290.1500000000001</v>
      </c>
      <c r="G11" s="96"/>
    </row>
    <row r="12" spans="1:7" ht="30" customHeight="1" x14ac:dyDescent="0.35">
      <c r="E12" s="99" t="str">
        <v>Samsung</v>
      </c>
      <c r="F12" s="100">
        <v>245.20000000000002</v>
      </c>
      <c r="G12" s="96"/>
    </row>
    <row r="13" spans="1:7" ht="30" customHeight="1" x14ac:dyDescent="0.35">
      <c r="E13" s="99" t="str">
        <v>Uniclass</v>
      </c>
      <c r="F13" s="100">
        <v>598.46999999999991</v>
      </c>
      <c r="G13" s="96"/>
    </row>
    <row r="14" spans="1:7" ht="30" customHeight="1" x14ac:dyDescent="0.35">
      <c r="E14" s="101"/>
      <c r="F14" s="102"/>
    </row>
    <row r="15" spans="1:7" ht="30" customHeight="1" x14ac:dyDescent="0.35">
      <c r="F15" s="96"/>
    </row>
    <row r="16" spans="1:7" ht="30" customHeight="1" x14ac:dyDescent="0.35">
      <c r="F16" s="96"/>
    </row>
    <row r="17" spans="6:6" ht="30" customHeight="1" x14ac:dyDescent="0.35">
      <c r="F17" s="96"/>
    </row>
    <row r="18" spans="6:6" ht="30" customHeight="1" x14ac:dyDescent="0.35">
      <c r="F18" s="96"/>
    </row>
    <row r="19" spans="6:6" ht="30" customHeight="1" x14ac:dyDescent="0.35">
      <c r="F19" s="96"/>
    </row>
    <row r="20" spans="6:6" ht="30" customHeight="1" x14ac:dyDescent="0.35">
      <c r="F20" s="96"/>
    </row>
  </sheetData>
  <mergeCells count="2">
    <mergeCell ref="B2:C2"/>
    <mergeCell ref="E2:F2"/>
  </mergeCells>
  <dataValidations count="4">
    <dataValidation allowBlank="1" showInputMessage="1" showErrorMessage="1" prompt="Insira as Despesas mensais nesta planilha." sqref="A2" xr:uid="{00000000-0002-0000-0200-000000000000}"/>
    <dataValidation allowBlank="1" showInputMessage="1" showErrorMessage="1" prompt="O título desta planilha está nesta célula." sqref="B2:C2" xr:uid="{00000000-0002-0000-0200-000001000000}"/>
    <dataValidation allowBlank="1" showInputMessage="1" showErrorMessage="1" prompt="Insira os Itens de despesa mensal na coluna sob este cabeçalho. Use filtros de cabeçalho para localizar entradas de itens específicos." sqref="B3" xr:uid="{00000000-0002-0000-0200-000002000000}"/>
    <dataValidation allowBlank="1" showInputMessage="1" showErrorMessage="1" prompt="Insira o Valor na coluna sob este cabeçalho." sqref="C3" xr:uid="{00000000-0002-0000-0200-000003000000}"/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D97C-E80F-4B17-BA0C-096899092BA6}">
  <sheetPr>
    <tabColor rgb="FFFFBCBC"/>
    <pageSetUpPr autoPageBreaks="0" fitToPage="1"/>
  </sheetPr>
  <dimension ref="A1:M142"/>
  <sheetViews>
    <sheetView showGridLines="0" tabSelected="1" topLeftCell="A4" zoomScale="70" zoomScaleNormal="70" workbookViewId="0">
      <selection activeCell="M51" sqref="M51"/>
    </sheetView>
  </sheetViews>
  <sheetFormatPr defaultColWidth="8.7109375" defaultRowHeight="30" customHeight="1" x14ac:dyDescent="0.35"/>
  <cols>
    <col min="1" max="1" width="20.7109375" style="61" bestFit="1" customWidth="1"/>
    <col min="2" max="2" width="22" style="72" bestFit="1" customWidth="1"/>
    <col min="3" max="3" width="10.2109375" bestFit="1" customWidth="1"/>
    <col min="4" max="4" width="14.5" style="89" customWidth="1"/>
    <col min="5" max="5" width="41.5703125" style="18" bestFit="1" customWidth="1"/>
    <col min="6" max="6" width="19.2109375" style="67" bestFit="1" customWidth="1"/>
    <col min="7" max="7" width="16.7109375" style="49" bestFit="1" customWidth="1"/>
    <col min="8" max="8" width="8.7109375" customWidth="1"/>
    <col min="9" max="9" width="8.2109375" bestFit="1" customWidth="1"/>
    <col min="10" max="10" width="15.140625" bestFit="1" customWidth="1"/>
    <col min="11" max="11" width="12.0703125" customWidth="1"/>
    <col min="12" max="13" width="14" customWidth="1"/>
    <col min="14" max="14" width="8.7109375" customWidth="1"/>
    <col min="15" max="15" width="8.2109375" bestFit="1" customWidth="1"/>
    <col min="16" max="16" width="13.42578125" bestFit="1" customWidth="1"/>
    <col min="17" max="17" width="11.5703125" bestFit="1" customWidth="1"/>
    <col min="18" max="19" width="13.42578125" bestFit="1" customWidth="1"/>
  </cols>
  <sheetData>
    <row r="1" spans="1:13" ht="15" customHeight="1" x14ac:dyDescent="0.35">
      <c r="B1" s="36"/>
      <c r="C1" s="37"/>
    </row>
    <row r="2" spans="1:13" ht="20.9" customHeight="1" x14ac:dyDescent="0.35">
      <c r="A2" s="118" t="s">
        <v>30</v>
      </c>
      <c r="B2" s="118"/>
      <c r="C2" s="118"/>
      <c r="D2" s="90"/>
      <c r="E2" s="32"/>
      <c r="F2" s="68"/>
      <c r="G2" s="50"/>
    </row>
    <row r="3" spans="1:13" ht="36.75" customHeight="1" thickBot="1" x14ac:dyDescent="0.4">
      <c r="A3" s="118"/>
      <c r="B3" s="118"/>
      <c r="C3" s="118"/>
      <c r="D3" s="90"/>
      <c r="E3" s="55" t="s">
        <v>17</v>
      </c>
      <c r="F3" s="114">
        <f>SUM(F5:F178)</f>
        <v>18570.300000000007</v>
      </c>
      <c r="G3" s="71"/>
      <c r="I3" s="47" t="s">
        <v>31</v>
      </c>
      <c r="J3" s="46" t="s">
        <v>34</v>
      </c>
      <c r="K3" s="46" t="s">
        <v>15</v>
      </c>
      <c r="L3" s="46" t="s">
        <v>16</v>
      </c>
      <c r="M3" s="46" t="s">
        <v>25</v>
      </c>
    </row>
    <row r="4" spans="1:13" ht="30" customHeight="1" thickTop="1" thickBot="1" x14ac:dyDescent="0.4">
      <c r="A4" s="62" t="s">
        <v>28</v>
      </c>
      <c r="B4" s="53" t="s">
        <v>22</v>
      </c>
      <c r="C4" s="28" t="s">
        <v>14</v>
      </c>
      <c r="D4" s="91" t="s">
        <v>29</v>
      </c>
      <c r="E4" s="35" t="s">
        <v>27</v>
      </c>
      <c r="F4" s="69" t="s">
        <v>9</v>
      </c>
      <c r="G4" s="51" t="s">
        <v>44</v>
      </c>
      <c r="I4" s="45" t="s">
        <v>17</v>
      </c>
      <c r="J4" s="44">
        <f>SUMIF($C:$C,J3,$F:$F)</f>
        <v>8828.3199999999961</v>
      </c>
      <c r="K4" s="44">
        <f>SUMIF($C:$C,K3,$F:$F)</f>
        <v>157.34</v>
      </c>
      <c r="L4" s="44">
        <f>SUMIF($C:$C,L3,$F:$F)</f>
        <v>2937.97</v>
      </c>
      <c r="M4" s="44">
        <f>SUMIF($C:$C,M3,$F:$F)</f>
        <v>6646.67</v>
      </c>
    </row>
    <row r="5" spans="1:13" ht="30" customHeight="1" thickTop="1" x14ac:dyDescent="0.35">
      <c r="A5" s="59" t="s">
        <v>32</v>
      </c>
      <c r="B5" s="73">
        <v>18</v>
      </c>
      <c r="C5" s="10" t="s">
        <v>16</v>
      </c>
      <c r="D5" s="92" t="s">
        <v>118</v>
      </c>
      <c r="E5" s="64" t="s">
        <v>91</v>
      </c>
      <c r="F5" s="65">
        <v>541.11</v>
      </c>
      <c r="G5" s="34"/>
    </row>
    <row r="6" spans="1:13" ht="30" hidden="1" customHeight="1" x14ac:dyDescent="0.35">
      <c r="A6" s="59" t="s">
        <v>32</v>
      </c>
      <c r="B6" s="73">
        <v>18</v>
      </c>
      <c r="C6" s="10" t="s">
        <v>25</v>
      </c>
      <c r="D6" s="92" t="s">
        <v>68</v>
      </c>
      <c r="E6" s="34" t="s">
        <v>84</v>
      </c>
      <c r="F6" s="66">
        <v>191.66</v>
      </c>
      <c r="G6" s="34"/>
      <c r="J6" s="43"/>
    </row>
    <row r="7" spans="1:13" ht="30" hidden="1" customHeight="1" x14ac:dyDescent="0.35">
      <c r="A7" s="59" t="s">
        <v>32</v>
      </c>
      <c r="B7" s="73">
        <v>18</v>
      </c>
      <c r="C7" s="10" t="s">
        <v>25</v>
      </c>
      <c r="D7" s="92" t="s">
        <v>68</v>
      </c>
      <c r="E7" s="34" t="s">
        <v>33</v>
      </c>
      <c r="F7" s="66">
        <v>119.99</v>
      </c>
      <c r="G7" s="34"/>
    </row>
    <row r="8" spans="1:13" ht="30" hidden="1" customHeight="1" x14ac:dyDescent="0.35">
      <c r="A8" s="59" t="s">
        <v>32</v>
      </c>
      <c r="B8" s="73">
        <v>18</v>
      </c>
      <c r="C8" s="10" t="s">
        <v>34</v>
      </c>
      <c r="D8" s="92" t="s">
        <v>68</v>
      </c>
      <c r="E8" s="34" t="s">
        <v>80</v>
      </c>
      <c r="F8" s="66">
        <v>31.9</v>
      </c>
      <c r="G8" s="34" t="s">
        <v>59</v>
      </c>
    </row>
    <row r="9" spans="1:13" ht="30" hidden="1" customHeight="1" x14ac:dyDescent="0.35">
      <c r="A9" s="59" t="s">
        <v>32</v>
      </c>
      <c r="B9" s="73">
        <v>18</v>
      </c>
      <c r="C9" s="10" t="s">
        <v>34</v>
      </c>
      <c r="D9" s="92" t="s">
        <v>143</v>
      </c>
      <c r="E9" s="34" t="s">
        <v>230</v>
      </c>
      <c r="F9" s="66">
        <f>405.34-205-111.97</f>
        <v>88.369999999999976</v>
      </c>
      <c r="G9" s="34" t="s">
        <v>60</v>
      </c>
    </row>
    <row r="10" spans="1:13" ht="30" hidden="1" customHeight="1" x14ac:dyDescent="0.35">
      <c r="A10" s="59" t="s">
        <v>32</v>
      </c>
      <c r="B10" s="73">
        <v>18</v>
      </c>
      <c r="C10" s="10" t="s">
        <v>25</v>
      </c>
      <c r="D10" s="92" t="s">
        <v>143</v>
      </c>
      <c r="E10" s="34" t="s">
        <v>231</v>
      </c>
      <c r="F10" s="66">
        <v>205.15</v>
      </c>
      <c r="G10" s="34"/>
    </row>
    <row r="11" spans="1:13" ht="30" hidden="1" customHeight="1" x14ac:dyDescent="0.35">
      <c r="A11" s="59" t="s">
        <v>32</v>
      </c>
      <c r="B11" s="73">
        <v>18</v>
      </c>
      <c r="C11" s="10" t="s">
        <v>34</v>
      </c>
      <c r="D11" s="92" t="s">
        <v>143</v>
      </c>
      <c r="E11" s="34" t="s">
        <v>232</v>
      </c>
      <c r="F11" s="66">
        <v>111.97</v>
      </c>
      <c r="G11" s="34" t="s">
        <v>48</v>
      </c>
    </row>
    <row r="12" spans="1:13" ht="30" hidden="1" customHeight="1" x14ac:dyDescent="0.35">
      <c r="A12" s="59"/>
      <c r="B12" s="73"/>
      <c r="C12" s="10"/>
      <c r="D12" s="92"/>
      <c r="E12" s="48"/>
      <c r="F12" s="66"/>
      <c r="G12" s="34"/>
    </row>
    <row r="13" spans="1:13" ht="30" hidden="1" customHeight="1" x14ac:dyDescent="0.35">
      <c r="A13" s="59" t="s">
        <v>70</v>
      </c>
      <c r="B13" s="73">
        <v>20</v>
      </c>
      <c r="C13" s="10" t="s">
        <v>25</v>
      </c>
      <c r="D13" s="63" t="s">
        <v>236</v>
      </c>
      <c r="E13" s="48" t="s">
        <v>72</v>
      </c>
      <c r="F13" s="66">
        <v>146</v>
      </c>
      <c r="G13" s="34"/>
    </row>
    <row r="14" spans="1:13" ht="30" customHeight="1" x14ac:dyDescent="0.35">
      <c r="A14" s="59" t="s">
        <v>70</v>
      </c>
      <c r="B14" s="73">
        <v>20</v>
      </c>
      <c r="C14" s="10" t="s">
        <v>16</v>
      </c>
      <c r="D14" s="63" t="s">
        <v>135</v>
      </c>
      <c r="E14" s="48" t="s">
        <v>110</v>
      </c>
      <c r="F14" s="66">
        <v>33.22</v>
      </c>
      <c r="G14" s="52"/>
    </row>
    <row r="15" spans="1:13" ht="30" hidden="1" customHeight="1" x14ac:dyDescent="0.35">
      <c r="A15" s="59" t="s">
        <v>70</v>
      </c>
      <c r="B15" s="73">
        <v>20</v>
      </c>
      <c r="C15" s="10"/>
      <c r="D15" s="63"/>
      <c r="E15" s="48"/>
      <c r="F15" s="66"/>
      <c r="G15" s="52"/>
    </row>
    <row r="16" spans="1:13" ht="30" hidden="1" customHeight="1" x14ac:dyDescent="0.35">
      <c r="A16" s="59"/>
      <c r="B16" s="73"/>
      <c r="C16" s="10"/>
      <c r="D16" s="63"/>
      <c r="E16" s="48"/>
      <c r="F16" s="66"/>
      <c r="G16" s="52"/>
    </row>
    <row r="17" spans="1:7" ht="30" hidden="1" customHeight="1" x14ac:dyDescent="0.35">
      <c r="A17" s="59" t="s">
        <v>71</v>
      </c>
      <c r="B17" s="73">
        <v>20</v>
      </c>
      <c r="C17" s="10" t="s">
        <v>25</v>
      </c>
      <c r="D17" s="63" t="s">
        <v>213</v>
      </c>
      <c r="E17" s="48" t="s">
        <v>111</v>
      </c>
      <c r="F17" s="66">
        <v>46.89</v>
      </c>
      <c r="G17" s="34"/>
    </row>
    <row r="18" spans="1:7" ht="30" hidden="1" customHeight="1" x14ac:dyDescent="0.35">
      <c r="A18" s="59" t="s">
        <v>71</v>
      </c>
      <c r="B18" s="73">
        <v>20</v>
      </c>
      <c r="C18" s="10" t="s">
        <v>25</v>
      </c>
      <c r="D18" s="63" t="s">
        <v>147</v>
      </c>
      <c r="E18" s="48" t="s">
        <v>72</v>
      </c>
      <c r="F18" s="66">
        <v>41.26</v>
      </c>
      <c r="G18" s="34"/>
    </row>
    <row r="19" spans="1:7" ht="30" hidden="1" customHeight="1" x14ac:dyDescent="0.35">
      <c r="A19" s="59" t="s">
        <v>71</v>
      </c>
      <c r="B19" s="73">
        <v>20</v>
      </c>
      <c r="C19" s="10" t="s">
        <v>34</v>
      </c>
      <c r="D19" s="63" t="s">
        <v>147</v>
      </c>
      <c r="E19" s="48" t="s">
        <v>35</v>
      </c>
      <c r="F19" s="66">
        <v>51.93</v>
      </c>
      <c r="G19" s="34" t="s">
        <v>54</v>
      </c>
    </row>
    <row r="20" spans="1:7" ht="30" hidden="1" customHeight="1" x14ac:dyDescent="0.35">
      <c r="A20" s="59" t="s">
        <v>71</v>
      </c>
      <c r="B20" s="73">
        <v>20</v>
      </c>
      <c r="C20" s="10" t="s">
        <v>34</v>
      </c>
      <c r="D20" s="63" t="s">
        <v>147</v>
      </c>
      <c r="E20" s="48" t="s">
        <v>35</v>
      </c>
      <c r="F20" s="66">
        <v>27.2</v>
      </c>
      <c r="G20" s="34" t="s">
        <v>54</v>
      </c>
    </row>
    <row r="21" spans="1:7" ht="30" hidden="1" customHeight="1" x14ac:dyDescent="0.35">
      <c r="A21" s="59" t="s">
        <v>71</v>
      </c>
      <c r="B21" s="73">
        <v>20</v>
      </c>
      <c r="C21" s="10"/>
      <c r="D21" s="63"/>
      <c r="E21" s="48"/>
      <c r="F21" s="66"/>
      <c r="G21" s="34"/>
    </row>
    <row r="22" spans="1:7" ht="30" hidden="1" customHeight="1" x14ac:dyDescent="0.35">
      <c r="A22" s="59"/>
      <c r="B22" s="73"/>
      <c r="C22" s="10"/>
      <c r="D22" s="63"/>
      <c r="E22" s="48"/>
      <c r="F22" s="66"/>
      <c r="G22" s="52"/>
    </row>
    <row r="23" spans="1:7" ht="30" customHeight="1" x14ac:dyDescent="0.35">
      <c r="A23" s="59" t="s">
        <v>36</v>
      </c>
      <c r="B23" s="73">
        <v>6</v>
      </c>
      <c r="C23" s="10" t="s">
        <v>16</v>
      </c>
      <c r="D23" s="63" t="s">
        <v>136</v>
      </c>
      <c r="E23" s="48" t="s">
        <v>103</v>
      </c>
      <c r="F23" s="66">
        <v>62.75</v>
      </c>
      <c r="G23" s="52"/>
    </row>
    <row r="24" spans="1:7" ht="30" customHeight="1" x14ac:dyDescent="0.35">
      <c r="A24" s="59" t="s">
        <v>36</v>
      </c>
      <c r="B24" s="73">
        <v>6</v>
      </c>
      <c r="C24" s="10" t="s">
        <v>16</v>
      </c>
      <c r="D24" s="63" t="s">
        <v>42</v>
      </c>
      <c r="E24" s="48" t="s">
        <v>121</v>
      </c>
      <c r="F24" s="66">
        <v>138.47</v>
      </c>
      <c r="G24" s="52"/>
    </row>
    <row r="25" spans="1:7" ht="30" hidden="1" customHeight="1" x14ac:dyDescent="0.35">
      <c r="A25" s="59"/>
      <c r="B25" s="73"/>
      <c r="C25" s="10"/>
      <c r="D25" s="63"/>
      <c r="E25" s="48"/>
      <c r="F25" s="66"/>
      <c r="G25" s="34"/>
    </row>
    <row r="26" spans="1:7" ht="30" hidden="1" customHeight="1" x14ac:dyDescent="0.35">
      <c r="A26" s="60" t="s">
        <v>38</v>
      </c>
      <c r="B26" s="73">
        <v>7</v>
      </c>
      <c r="C26" s="10" t="s">
        <v>34</v>
      </c>
      <c r="D26" s="63" t="s">
        <v>235</v>
      </c>
      <c r="E26" s="48" t="s">
        <v>39</v>
      </c>
      <c r="F26" s="66">
        <v>12.43</v>
      </c>
      <c r="G26" s="34" t="s">
        <v>113</v>
      </c>
    </row>
    <row r="27" spans="1:7" ht="30" hidden="1" customHeight="1" x14ac:dyDescent="0.35">
      <c r="A27" s="60" t="s">
        <v>38</v>
      </c>
      <c r="B27" s="73">
        <v>7</v>
      </c>
      <c r="C27" s="10" t="s">
        <v>34</v>
      </c>
      <c r="D27" s="63" t="s">
        <v>234</v>
      </c>
      <c r="E27" s="48" t="s">
        <v>119</v>
      </c>
      <c r="F27" s="66">
        <v>64.2</v>
      </c>
      <c r="G27" s="34" t="s">
        <v>61</v>
      </c>
    </row>
    <row r="28" spans="1:7" ht="30" customHeight="1" x14ac:dyDescent="0.35">
      <c r="A28" s="60" t="s">
        <v>38</v>
      </c>
      <c r="B28" s="73">
        <v>7</v>
      </c>
      <c r="C28" s="10" t="s">
        <v>16</v>
      </c>
      <c r="D28" s="63" t="s">
        <v>100</v>
      </c>
      <c r="E28" s="48" t="s">
        <v>120</v>
      </c>
      <c r="F28" s="66">
        <v>115.49</v>
      </c>
      <c r="G28" s="34"/>
    </row>
    <row r="29" spans="1:7" ht="30" hidden="1" customHeight="1" x14ac:dyDescent="0.35">
      <c r="A29" s="60" t="s">
        <v>38</v>
      </c>
      <c r="B29" s="73" t="s">
        <v>144</v>
      </c>
      <c r="C29" s="10" t="s">
        <v>15</v>
      </c>
      <c r="D29" s="63" t="s">
        <v>233</v>
      </c>
      <c r="E29" s="48" t="s">
        <v>146</v>
      </c>
      <c r="F29" s="66">
        <v>157.34</v>
      </c>
      <c r="G29" s="34"/>
    </row>
    <row r="30" spans="1:7" ht="30" hidden="1" customHeight="1" x14ac:dyDescent="0.35">
      <c r="A30" s="59"/>
      <c r="B30" s="73"/>
      <c r="C30" s="10"/>
      <c r="D30" s="63"/>
      <c r="E30" s="48"/>
      <c r="F30" s="66"/>
      <c r="G30" s="34"/>
    </row>
    <row r="31" spans="1:7" ht="30" hidden="1" customHeight="1" x14ac:dyDescent="0.35">
      <c r="A31" s="59" t="s">
        <v>58</v>
      </c>
      <c r="B31" s="73">
        <v>27</v>
      </c>
      <c r="C31" s="10" t="s">
        <v>34</v>
      </c>
      <c r="D31" s="63" t="s">
        <v>42</v>
      </c>
      <c r="E31" s="48" t="s">
        <v>92</v>
      </c>
      <c r="F31" s="66">
        <v>55.14</v>
      </c>
      <c r="G31" s="34" t="s">
        <v>62</v>
      </c>
    </row>
    <row r="32" spans="1:7" ht="30" hidden="1" customHeight="1" x14ac:dyDescent="0.35">
      <c r="A32" s="59" t="s">
        <v>58</v>
      </c>
      <c r="B32" s="73">
        <v>27</v>
      </c>
      <c r="C32" s="10" t="s">
        <v>34</v>
      </c>
      <c r="D32" s="63" t="s">
        <v>42</v>
      </c>
      <c r="E32" s="48" t="s">
        <v>92</v>
      </c>
      <c r="F32" s="66">
        <v>41.72</v>
      </c>
      <c r="G32" s="34" t="s">
        <v>62</v>
      </c>
    </row>
    <row r="33" spans="1:7" ht="30" hidden="1" customHeight="1" x14ac:dyDescent="0.35">
      <c r="A33" s="59" t="s">
        <v>58</v>
      </c>
      <c r="B33" s="73">
        <v>27</v>
      </c>
      <c r="C33" s="10" t="s">
        <v>34</v>
      </c>
      <c r="D33" s="63" t="s">
        <v>143</v>
      </c>
      <c r="E33" s="48" t="s">
        <v>81</v>
      </c>
      <c r="F33" s="66">
        <v>89</v>
      </c>
      <c r="G33" s="34" t="s">
        <v>59</v>
      </c>
    </row>
    <row r="34" spans="1:7" ht="30" hidden="1" customHeight="1" x14ac:dyDescent="0.35">
      <c r="A34" s="59"/>
      <c r="B34" s="73"/>
      <c r="C34" s="10"/>
      <c r="D34" s="63"/>
      <c r="E34" s="48"/>
      <c r="F34" s="66"/>
      <c r="G34" s="52"/>
    </row>
    <row r="35" spans="1:7" ht="30" hidden="1" customHeight="1" x14ac:dyDescent="0.35">
      <c r="A35" s="59" t="s">
        <v>73</v>
      </c>
      <c r="B35" s="73">
        <v>17</v>
      </c>
      <c r="C35" s="10" t="s">
        <v>34</v>
      </c>
      <c r="D35" s="63" t="s">
        <v>237</v>
      </c>
      <c r="E35" s="48" t="s">
        <v>83</v>
      </c>
      <c r="F35" s="66">
        <v>59.3</v>
      </c>
      <c r="G35" s="52" t="s">
        <v>55</v>
      </c>
    </row>
    <row r="36" spans="1:7" ht="30" hidden="1" customHeight="1" x14ac:dyDescent="0.35">
      <c r="A36" s="59" t="s">
        <v>73</v>
      </c>
      <c r="B36" s="73">
        <v>17</v>
      </c>
      <c r="C36" s="10" t="s">
        <v>34</v>
      </c>
      <c r="D36" s="63" t="s">
        <v>237</v>
      </c>
      <c r="E36" s="48" t="s">
        <v>74</v>
      </c>
      <c r="F36" s="66">
        <v>66.66</v>
      </c>
      <c r="G36" s="52" t="s">
        <v>55</v>
      </c>
    </row>
    <row r="37" spans="1:7" ht="30" hidden="1" customHeight="1" x14ac:dyDescent="0.35">
      <c r="A37" s="59" t="s">
        <v>73</v>
      </c>
      <c r="B37" s="73">
        <v>17</v>
      </c>
      <c r="C37" s="10" t="s">
        <v>34</v>
      </c>
      <c r="D37" s="63" t="s">
        <v>237</v>
      </c>
      <c r="E37" s="48" t="s">
        <v>74</v>
      </c>
      <c r="F37" s="66">
        <v>64.66</v>
      </c>
      <c r="G37" s="52" t="s">
        <v>55</v>
      </c>
    </row>
    <row r="38" spans="1:7" ht="30" hidden="1" customHeight="1" x14ac:dyDescent="0.35">
      <c r="A38" s="59" t="s">
        <v>73</v>
      </c>
      <c r="B38" s="73">
        <v>17</v>
      </c>
      <c r="C38" s="10" t="s">
        <v>34</v>
      </c>
      <c r="D38" s="63" t="s">
        <v>238</v>
      </c>
      <c r="E38" s="48" t="s">
        <v>86</v>
      </c>
      <c r="F38" s="66">
        <v>59.49</v>
      </c>
      <c r="G38" s="52" t="s">
        <v>54</v>
      </c>
    </row>
    <row r="39" spans="1:7" ht="30" hidden="1" customHeight="1" x14ac:dyDescent="0.35">
      <c r="A39" s="59"/>
      <c r="B39" s="73"/>
      <c r="C39" s="10"/>
      <c r="D39" s="63"/>
      <c r="E39" s="48"/>
      <c r="F39" s="66"/>
      <c r="G39" s="52"/>
    </row>
    <row r="40" spans="1:7" ht="30" hidden="1" customHeight="1" x14ac:dyDescent="0.35">
      <c r="A40" s="59" t="s">
        <v>75</v>
      </c>
      <c r="B40" s="73">
        <v>21</v>
      </c>
      <c r="C40" s="10" t="s">
        <v>34</v>
      </c>
      <c r="D40" s="63" t="s">
        <v>140</v>
      </c>
      <c r="E40" s="48" t="s">
        <v>76</v>
      </c>
      <c r="F40" s="66">
        <v>28.27</v>
      </c>
      <c r="G40" s="52" t="s">
        <v>54</v>
      </c>
    </row>
    <row r="41" spans="1:7" ht="30" hidden="1" customHeight="1" x14ac:dyDescent="0.35">
      <c r="A41" s="59" t="s">
        <v>75</v>
      </c>
      <c r="B41" s="73">
        <v>21</v>
      </c>
      <c r="C41" s="10" t="s">
        <v>34</v>
      </c>
      <c r="D41" s="63" t="s">
        <v>239</v>
      </c>
      <c r="E41" s="48" t="s">
        <v>82</v>
      </c>
      <c r="F41" s="66">
        <v>26.3</v>
      </c>
      <c r="G41" s="52" t="s">
        <v>55</v>
      </c>
    </row>
    <row r="42" spans="1:7" ht="30" hidden="1" customHeight="1" x14ac:dyDescent="0.35">
      <c r="A42" s="59" t="s">
        <v>75</v>
      </c>
      <c r="B42" s="73">
        <v>21</v>
      </c>
      <c r="C42" s="10" t="s">
        <v>34</v>
      </c>
      <c r="D42" s="63" t="s">
        <v>98</v>
      </c>
      <c r="E42" s="48" t="s">
        <v>87</v>
      </c>
      <c r="F42" s="66">
        <v>309</v>
      </c>
      <c r="G42" s="52" t="s">
        <v>52</v>
      </c>
    </row>
    <row r="43" spans="1:7" ht="30" customHeight="1" x14ac:dyDescent="0.35">
      <c r="A43" s="59" t="s">
        <v>75</v>
      </c>
      <c r="B43" s="73">
        <v>21</v>
      </c>
      <c r="C43" s="10" t="s">
        <v>16</v>
      </c>
      <c r="D43" s="63" t="s">
        <v>143</v>
      </c>
      <c r="E43" s="48" t="s">
        <v>240</v>
      </c>
      <c r="F43" s="66">
        <f>598-373</f>
        <v>225</v>
      </c>
      <c r="G43" s="52"/>
    </row>
    <row r="44" spans="1:7" ht="30" hidden="1" customHeight="1" x14ac:dyDescent="0.35">
      <c r="A44" s="59" t="s">
        <v>75</v>
      </c>
      <c r="B44" s="73">
        <v>21</v>
      </c>
      <c r="C44" s="10" t="s">
        <v>34</v>
      </c>
      <c r="D44" s="63" t="s">
        <v>68</v>
      </c>
      <c r="E44" s="48" t="s">
        <v>105</v>
      </c>
      <c r="F44" s="66">
        <v>9.9</v>
      </c>
      <c r="G44" s="52" t="s">
        <v>59</v>
      </c>
    </row>
    <row r="45" spans="1:7" ht="30" hidden="1" customHeight="1" x14ac:dyDescent="0.35">
      <c r="A45" s="59"/>
      <c r="B45" s="73"/>
      <c r="C45" s="10"/>
      <c r="D45" s="63"/>
      <c r="E45" s="48"/>
      <c r="F45" s="66"/>
      <c r="G45" s="52"/>
    </row>
    <row r="46" spans="1:7" ht="30" customHeight="1" x14ac:dyDescent="0.35">
      <c r="A46" s="59" t="s">
        <v>107</v>
      </c>
      <c r="B46" s="73">
        <v>27</v>
      </c>
      <c r="C46" s="10" t="s">
        <v>16</v>
      </c>
      <c r="D46" s="63" t="s">
        <v>85</v>
      </c>
      <c r="E46" s="48" t="s">
        <v>108</v>
      </c>
      <c r="F46" s="66">
        <v>49.98</v>
      </c>
      <c r="G46" s="52"/>
    </row>
    <row r="47" spans="1:7" ht="30" customHeight="1" x14ac:dyDescent="0.35">
      <c r="A47" s="59" t="s">
        <v>107</v>
      </c>
      <c r="B47" s="73">
        <v>27</v>
      </c>
      <c r="C47" s="10" t="s">
        <v>16</v>
      </c>
      <c r="D47" s="63" t="s">
        <v>43</v>
      </c>
      <c r="E47" s="48" t="s">
        <v>109</v>
      </c>
      <c r="F47" s="66">
        <v>35.99</v>
      </c>
      <c r="G47" s="52"/>
    </row>
    <row r="48" spans="1:7" ht="30" customHeight="1" x14ac:dyDescent="0.35">
      <c r="A48" s="59" t="s">
        <v>107</v>
      </c>
      <c r="B48" s="73">
        <v>27</v>
      </c>
      <c r="C48" s="10" t="s">
        <v>16</v>
      </c>
      <c r="D48" s="63" t="s">
        <v>89</v>
      </c>
      <c r="E48" s="48" t="s">
        <v>123</v>
      </c>
      <c r="F48" s="70">
        <v>126.51</v>
      </c>
      <c r="G48" s="52"/>
    </row>
    <row r="49" spans="1:13" ht="30" customHeight="1" x14ac:dyDescent="0.35">
      <c r="A49" s="59" t="s">
        <v>107</v>
      </c>
      <c r="B49" s="73">
        <v>27</v>
      </c>
      <c r="C49" s="10" t="s">
        <v>16</v>
      </c>
      <c r="D49" s="63" t="s">
        <v>89</v>
      </c>
      <c r="E49" s="48" t="s">
        <v>148</v>
      </c>
      <c r="F49" s="66">
        <v>32.72</v>
      </c>
      <c r="G49" s="52"/>
    </row>
    <row r="50" spans="1:13" ht="30" hidden="1" customHeight="1" x14ac:dyDescent="0.35">
      <c r="A50" s="59"/>
      <c r="B50" s="73"/>
      <c r="C50" s="10"/>
      <c r="D50" s="63"/>
      <c r="E50" s="48"/>
      <c r="F50" s="66"/>
      <c r="G50" s="52"/>
    </row>
    <row r="51" spans="1:13" ht="30" customHeight="1" x14ac:dyDescent="0.35">
      <c r="A51" s="59" t="s">
        <v>93</v>
      </c>
      <c r="B51" s="73">
        <v>13</v>
      </c>
      <c r="C51" s="10" t="s">
        <v>16</v>
      </c>
      <c r="D51" s="63" t="s">
        <v>68</v>
      </c>
      <c r="E51" s="48" t="s">
        <v>94</v>
      </c>
      <c r="F51" s="66">
        <v>171.39</v>
      </c>
      <c r="G51" s="52"/>
      <c r="M51" s="14"/>
    </row>
    <row r="52" spans="1:13" ht="30" customHeight="1" x14ac:dyDescent="0.35">
      <c r="A52" s="59" t="s">
        <v>93</v>
      </c>
      <c r="B52" s="73">
        <v>18</v>
      </c>
      <c r="C52" s="10" t="s">
        <v>16</v>
      </c>
      <c r="D52" s="63" t="s">
        <v>68</v>
      </c>
      <c r="E52" s="48" t="s">
        <v>95</v>
      </c>
      <c r="F52" s="66">
        <v>871.89</v>
      </c>
      <c r="G52" s="52"/>
    </row>
    <row r="53" spans="1:13" ht="30" hidden="1" customHeight="1" x14ac:dyDescent="0.35">
      <c r="A53" s="59" t="s">
        <v>93</v>
      </c>
      <c r="B53" s="73">
        <v>15</v>
      </c>
      <c r="C53" s="10" t="s">
        <v>25</v>
      </c>
      <c r="D53" s="63"/>
      <c r="E53" s="48" t="s">
        <v>96</v>
      </c>
      <c r="F53" s="70">
        <v>450</v>
      </c>
      <c r="G53" s="52"/>
    </row>
    <row r="54" spans="1:13" ht="30" hidden="1" customHeight="1" x14ac:dyDescent="0.35">
      <c r="A54" s="59" t="s">
        <v>93</v>
      </c>
      <c r="B54" s="73" t="s">
        <v>241</v>
      </c>
      <c r="C54" s="10" t="s">
        <v>25</v>
      </c>
      <c r="D54" s="63"/>
      <c r="E54" s="48" t="s">
        <v>97</v>
      </c>
      <c r="F54" s="70">
        <v>310.41000000000003</v>
      </c>
      <c r="G54" s="52"/>
    </row>
    <row r="55" spans="1:13" ht="30" hidden="1" customHeight="1" x14ac:dyDescent="0.35">
      <c r="A55" s="59" t="s">
        <v>93</v>
      </c>
      <c r="B55" s="73" t="s">
        <v>241</v>
      </c>
      <c r="C55" s="10" t="s">
        <v>25</v>
      </c>
      <c r="D55" s="63"/>
      <c r="E55" s="48" t="s">
        <v>97</v>
      </c>
      <c r="F55" s="70">
        <v>420.43</v>
      </c>
      <c r="G55" s="52"/>
    </row>
    <row r="56" spans="1:13" ht="30" hidden="1" customHeight="1" x14ac:dyDescent="0.35">
      <c r="A56" s="59" t="s">
        <v>93</v>
      </c>
      <c r="B56" s="73">
        <v>20</v>
      </c>
      <c r="C56" s="10" t="s">
        <v>25</v>
      </c>
      <c r="D56" s="63"/>
      <c r="E56" s="48" t="s">
        <v>13</v>
      </c>
      <c r="F56" s="70">
        <v>963</v>
      </c>
      <c r="G56" s="52"/>
    </row>
    <row r="57" spans="1:13" ht="30" hidden="1" customHeight="1" x14ac:dyDescent="0.35">
      <c r="A57" s="59"/>
      <c r="B57" s="73"/>
      <c r="C57" s="10"/>
      <c r="D57" s="115"/>
      <c r="E57" s="48"/>
      <c r="F57" s="70"/>
      <c r="G57" s="52"/>
    </row>
    <row r="58" spans="1:13" ht="30" hidden="1" customHeight="1" x14ac:dyDescent="0.35">
      <c r="A58" s="59" t="s">
        <v>40</v>
      </c>
      <c r="B58" s="73" t="s">
        <v>151</v>
      </c>
      <c r="C58" s="10" t="s">
        <v>34</v>
      </c>
      <c r="D58" s="115" t="s">
        <v>145</v>
      </c>
      <c r="E58" s="48" t="s">
        <v>152</v>
      </c>
      <c r="F58" s="70">
        <v>472.23</v>
      </c>
      <c r="G58" s="52" t="s">
        <v>56</v>
      </c>
    </row>
    <row r="59" spans="1:13" ht="30" hidden="1" customHeight="1" x14ac:dyDescent="0.35">
      <c r="A59" s="59" t="s">
        <v>40</v>
      </c>
      <c r="B59" s="73" t="s">
        <v>151</v>
      </c>
      <c r="C59" s="10" t="s">
        <v>34</v>
      </c>
      <c r="D59" s="115" t="s">
        <v>143</v>
      </c>
      <c r="E59" s="48" t="s">
        <v>153</v>
      </c>
      <c r="F59" s="70">
        <v>42.84</v>
      </c>
      <c r="G59" s="52" t="s">
        <v>46</v>
      </c>
    </row>
    <row r="60" spans="1:13" ht="30" hidden="1" customHeight="1" x14ac:dyDescent="0.35">
      <c r="A60" s="59" t="s">
        <v>40</v>
      </c>
      <c r="B60" s="73" t="s">
        <v>151</v>
      </c>
      <c r="C60" s="10" t="s">
        <v>34</v>
      </c>
      <c r="D60" s="115" t="s">
        <v>143</v>
      </c>
      <c r="E60" s="48" t="s">
        <v>154</v>
      </c>
      <c r="F60" s="70">
        <v>23.3</v>
      </c>
      <c r="G60" s="52" t="s">
        <v>60</v>
      </c>
    </row>
    <row r="61" spans="1:13" ht="30" hidden="1" customHeight="1" x14ac:dyDescent="0.35">
      <c r="A61" s="59" t="s">
        <v>40</v>
      </c>
      <c r="B61" s="73" t="s">
        <v>151</v>
      </c>
      <c r="C61" s="10" t="s">
        <v>34</v>
      </c>
      <c r="D61" s="115" t="s">
        <v>143</v>
      </c>
      <c r="E61" s="48" t="s">
        <v>154</v>
      </c>
      <c r="F61" s="70">
        <v>30.4</v>
      </c>
      <c r="G61" s="52" t="s">
        <v>60</v>
      </c>
    </row>
    <row r="62" spans="1:13" ht="30" hidden="1" customHeight="1" x14ac:dyDescent="0.35">
      <c r="A62" s="59" t="s">
        <v>40</v>
      </c>
      <c r="B62" s="73" t="s">
        <v>151</v>
      </c>
      <c r="C62" s="10" t="s">
        <v>34</v>
      </c>
      <c r="D62" s="115" t="s">
        <v>143</v>
      </c>
      <c r="E62" s="48" t="s">
        <v>155</v>
      </c>
      <c r="F62" s="70">
        <v>48.6</v>
      </c>
      <c r="G62" s="52" t="s">
        <v>57</v>
      </c>
    </row>
    <row r="63" spans="1:13" ht="30" hidden="1" customHeight="1" x14ac:dyDescent="0.35">
      <c r="A63" s="59" t="s">
        <v>40</v>
      </c>
      <c r="B63" s="73" t="s">
        <v>151</v>
      </c>
      <c r="C63" s="10" t="s">
        <v>34</v>
      </c>
      <c r="D63" s="115" t="s">
        <v>143</v>
      </c>
      <c r="E63" s="48" t="s">
        <v>156</v>
      </c>
      <c r="F63" s="70">
        <v>30</v>
      </c>
      <c r="G63" s="52" t="s">
        <v>45</v>
      </c>
    </row>
    <row r="64" spans="1:13" ht="30" hidden="1" customHeight="1" x14ac:dyDescent="0.35">
      <c r="A64" s="59" t="s">
        <v>40</v>
      </c>
      <c r="B64" s="73" t="s">
        <v>151</v>
      </c>
      <c r="C64" s="10" t="s">
        <v>34</v>
      </c>
      <c r="D64" s="115" t="s">
        <v>68</v>
      </c>
      <c r="E64" s="48" t="s">
        <v>157</v>
      </c>
      <c r="F64" s="70">
        <v>106.33</v>
      </c>
      <c r="G64" s="52" t="s">
        <v>59</v>
      </c>
    </row>
    <row r="65" spans="1:7" ht="30" hidden="1" customHeight="1" x14ac:dyDescent="0.35">
      <c r="A65" s="59" t="s">
        <v>40</v>
      </c>
      <c r="B65" s="73" t="s">
        <v>151</v>
      </c>
      <c r="C65" s="10" t="s">
        <v>34</v>
      </c>
      <c r="D65" s="115" t="s">
        <v>143</v>
      </c>
      <c r="E65" s="48" t="s">
        <v>158</v>
      </c>
      <c r="F65" s="70">
        <v>3.72</v>
      </c>
      <c r="G65" s="52" t="s">
        <v>59</v>
      </c>
    </row>
    <row r="66" spans="1:7" ht="30" hidden="1" customHeight="1" x14ac:dyDescent="0.35">
      <c r="A66" s="59" t="s">
        <v>40</v>
      </c>
      <c r="B66" s="73" t="s">
        <v>151</v>
      </c>
      <c r="C66" s="10" t="s">
        <v>34</v>
      </c>
      <c r="D66" s="115" t="s">
        <v>143</v>
      </c>
      <c r="E66" s="48" t="s">
        <v>154</v>
      </c>
      <c r="F66" s="70">
        <v>19.899999999999999</v>
      </c>
      <c r="G66" s="52" t="s">
        <v>60</v>
      </c>
    </row>
    <row r="67" spans="1:7" ht="30" hidden="1" customHeight="1" x14ac:dyDescent="0.35">
      <c r="A67" s="59" t="s">
        <v>40</v>
      </c>
      <c r="B67" s="73" t="s">
        <v>151</v>
      </c>
      <c r="C67" s="10" t="s">
        <v>34</v>
      </c>
      <c r="D67" s="115" t="s">
        <v>143</v>
      </c>
      <c r="E67" s="48" t="s">
        <v>159</v>
      </c>
      <c r="F67" s="70">
        <v>60</v>
      </c>
      <c r="G67" s="52" t="s">
        <v>122</v>
      </c>
    </row>
    <row r="68" spans="1:7" ht="30" hidden="1" customHeight="1" x14ac:dyDescent="0.35">
      <c r="A68" s="59" t="s">
        <v>40</v>
      </c>
      <c r="B68" s="73" t="s">
        <v>151</v>
      </c>
      <c r="C68" s="10" t="s">
        <v>34</v>
      </c>
      <c r="D68" s="115" t="s">
        <v>143</v>
      </c>
      <c r="E68" s="48" t="s">
        <v>160</v>
      </c>
      <c r="F68" s="70">
        <v>30.78</v>
      </c>
      <c r="G68" s="52" t="s">
        <v>45</v>
      </c>
    </row>
    <row r="69" spans="1:7" ht="30" hidden="1" customHeight="1" x14ac:dyDescent="0.35">
      <c r="A69" s="59" t="s">
        <v>40</v>
      </c>
      <c r="B69" s="73" t="s">
        <v>151</v>
      </c>
      <c r="C69" s="10" t="s">
        <v>34</v>
      </c>
      <c r="D69" s="115" t="s">
        <v>143</v>
      </c>
      <c r="E69" s="48" t="s">
        <v>161</v>
      </c>
      <c r="F69" s="70">
        <v>160.16999999999999</v>
      </c>
      <c r="G69" s="52" t="s">
        <v>45</v>
      </c>
    </row>
    <row r="70" spans="1:7" ht="30" hidden="1" customHeight="1" x14ac:dyDescent="0.35">
      <c r="A70" s="59" t="s">
        <v>40</v>
      </c>
      <c r="B70" s="73" t="s">
        <v>151</v>
      </c>
      <c r="C70" s="10" t="s">
        <v>34</v>
      </c>
      <c r="D70" s="115" t="s">
        <v>143</v>
      </c>
      <c r="E70" s="48" t="s">
        <v>223</v>
      </c>
      <c r="F70" s="70">
        <v>15.2</v>
      </c>
      <c r="G70" s="52" t="s">
        <v>55</v>
      </c>
    </row>
    <row r="71" spans="1:7" ht="30" hidden="1" customHeight="1" x14ac:dyDescent="0.35">
      <c r="A71" s="59" t="s">
        <v>40</v>
      </c>
      <c r="B71" s="73" t="s">
        <v>151</v>
      </c>
      <c r="C71" s="10" t="s">
        <v>34</v>
      </c>
      <c r="D71" s="115" t="s">
        <v>143</v>
      </c>
      <c r="E71" s="48" t="s">
        <v>162</v>
      </c>
      <c r="F71" s="70">
        <v>20</v>
      </c>
      <c r="G71" s="52" t="s">
        <v>45</v>
      </c>
    </row>
    <row r="72" spans="1:7" ht="30" hidden="1" customHeight="1" x14ac:dyDescent="0.35">
      <c r="A72" s="59" t="s">
        <v>40</v>
      </c>
      <c r="B72" s="73" t="s">
        <v>151</v>
      </c>
      <c r="C72" s="10" t="s">
        <v>34</v>
      </c>
      <c r="D72" s="115" t="s">
        <v>143</v>
      </c>
      <c r="E72" s="48" t="s">
        <v>163</v>
      </c>
      <c r="F72" s="70">
        <v>100</v>
      </c>
      <c r="G72" s="52" t="s">
        <v>122</v>
      </c>
    </row>
    <row r="73" spans="1:7" ht="30" hidden="1" customHeight="1" x14ac:dyDescent="0.35">
      <c r="A73" s="59" t="s">
        <v>40</v>
      </c>
      <c r="B73" s="73" t="s">
        <v>151</v>
      </c>
      <c r="C73" s="10" t="s">
        <v>34</v>
      </c>
      <c r="D73" s="115" t="s">
        <v>143</v>
      </c>
      <c r="E73" s="48" t="s">
        <v>164</v>
      </c>
      <c r="F73" s="70">
        <v>13.64</v>
      </c>
      <c r="G73" s="52" t="s">
        <v>47</v>
      </c>
    </row>
    <row r="74" spans="1:7" ht="30" hidden="1" customHeight="1" x14ac:dyDescent="0.35">
      <c r="A74" s="59" t="s">
        <v>40</v>
      </c>
      <c r="B74" s="73" t="s">
        <v>151</v>
      </c>
      <c r="C74" s="10" t="s">
        <v>34</v>
      </c>
      <c r="D74" s="115" t="s">
        <v>143</v>
      </c>
      <c r="E74" s="48" t="s">
        <v>165</v>
      </c>
      <c r="F74" s="70">
        <v>61.18</v>
      </c>
      <c r="G74" s="52" t="s">
        <v>46</v>
      </c>
    </row>
    <row r="75" spans="1:7" ht="30" hidden="1" customHeight="1" x14ac:dyDescent="0.35">
      <c r="A75" s="59" t="s">
        <v>40</v>
      </c>
      <c r="B75" s="73" t="s">
        <v>151</v>
      </c>
      <c r="C75" s="10" t="s">
        <v>34</v>
      </c>
      <c r="D75" s="115" t="s">
        <v>143</v>
      </c>
      <c r="E75" s="48" t="s">
        <v>154</v>
      </c>
      <c r="F75" s="70">
        <v>23.7</v>
      </c>
      <c r="G75" s="52" t="s">
        <v>60</v>
      </c>
    </row>
    <row r="76" spans="1:7" ht="30" hidden="1" customHeight="1" x14ac:dyDescent="0.35">
      <c r="A76" s="59" t="s">
        <v>40</v>
      </c>
      <c r="B76" s="73" t="s">
        <v>151</v>
      </c>
      <c r="C76" s="10" t="s">
        <v>34</v>
      </c>
      <c r="D76" s="115" t="s">
        <v>124</v>
      </c>
      <c r="E76" s="48" t="s">
        <v>166</v>
      </c>
      <c r="F76" s="70">
        <v>88.5</v>
      </c>
      <c r="G76" s="52" t="s">
        <v>48</v>
      </c>
    </row>
    <row r="77" spans="1:7" ht="30" hidden="1" customHeight="1" x14ac:dyDescent="0.35">
      <c r="A77" s="59" t="s">
        <v>40</v>
      </c>
      <c r="B77" s="73" t="s">
        <v>151</v>
      </c>
      <c r="C77" s="10" t="s">
        <v>34</v>
      </c>
      <c r="D77" s="115" t="s">
        <v>143</v>
      </c>
      <c r="E77" s="48" t="s">
        <v>167</v>
      </c>
      <c r="F77" s="70">
        <v>10</v>
      </c>
      <c r="G77" s="52" t="s">
        <v>45</v>
      </c>
    </row>
    <row r="78" spans="1:7" ht="30" hidden="1" customHeight="1" x14ac:dyDescent="0.35">
      <c r="A78" s="59" t="s">
        <v>40</v>
      </c>
      <c r="B78" s="73" t="s">
        <v>151</v>
      </c>
      <c r="C78" s="10" t="s">
        <v>34</v>
      </c>
      <c r="D78" s="115" t="s">
        <v>143</v>
      </c>
      <c r="E78" s="48" t="s">
        <v>154</v>
      </c>
      <c r="F78" s="70">
        <v>23.1</v>
      </c>
      <c r="G78" s="52" t="s">
        <v>60</v>
      </c>
    </row>
    <row r="79" spans="1:7" ht="30" hidden="1" customHeight="1" x14ac:dyDescent="0.35">
      <c r="A79" s="59" t="s">
        <v>40</v>
      </c>
      <c r="B79" s="73" t="s">
        <v>151</v>
      </c>
      <c r="C79" s="10" t="s">
        <v>34</v>
      </c>
      <c r="D79" s="115" t="s">
        <v>143</v>
      </c>
      <c r="E79" s="48" t="s">
        <v>168</v>
      </c>
      <c r="F79" s="70">
        <v>7</v>
      </c>
      <c r="G79" s="52" t="s">
        <v>45</v>
      </c>
    </row>
    <row r="80" spans="1:7" ht="30" hidden="1" customHeight="1" x14ac:dyDescent="0.35">
      <c r="A80" s="59" t="s">
        <v>40</v>
      </c>
      <c r="B80" s="73" t="s">
        <v>151</v>
      </c>
      <c r="C80" s="10" t="s">
        <v>34</v>
      </c>
      <c r="D80" s="115" t="s">
        <v>143</v>
      </c>
      <c r="E80" s="48" t="s">
        <v>169</v>
      </c>
      <c r="F80" s="70">
        <v>31.39</v>
      </c>
      <c r="G80" s="52" t="s">
        <v>45</v>
      </c>
    </row>
    <row r="81" spans="1:7" ht="30" hidden="1" customHeight="1" x14ac:dyDescent="0.35">
      <c r="A81" s="59" t="s">
        <v>40</v>
      </c>
      <c r="B81" s="73" t="s">
        <v>151</v>
      </c>
      <c r="C81" s="10" t="s">
        <v>34</v>
      </c>
      <c r="D81" s="115" t="s">
        <v>143</v>
      </c>
      <c r="E81" s="48" t="s">
        <v>222</v>
      </c>
      <c r="F81" s="70">
        <v>34.43</v>
      </c>
      <c r="G81" s="52" t="s">
        <v>55</v>
      </c>
    </row>
    <row r="82" spans="1:7" ht="30" hidden="1" customHeight="1" x14ac:dyDescent="0.35">
      <c r="A82" s="59" t="s">
        <v>40</v>
      </c>
      <c r="B82" s="73" t="s">
        <v>151</v>
      </c>
      <c r="C82" s="10" t="s">
        <v>34</v>
      </c>
      <c r="D82" s="115" t="s">
        <v>143</v>
      </c>
      <c r="E82" s="48" t="s">
        <v>154</v>
      </c>
      <c r="F82" s="70">
        <v>22</v>
      </c>
      <c r="G82" s="52" t="s">
        <v>60</v>
      </c>
    </row>
    <row r="83" spans="1:7" ht="30" hidden="1" customHeight="1" x14ac:dyDescent="0.35">
      <c r="A83" s="59" t="s">
        <v>40</v>
      </c>
      <c r="B83" s="73" t="s">
        <v>151</v>
      </c>
      <c r="C83" s="10" t="s">
        <v>34</v>
      </c>
      <c r="D83" s="115" t="s">
        <v>143</v>
      </c>
      <c r="E83" s="48" t="s">
        <v>170</v>
      </c>
      <c r="F83" s="70">
        <v>50</v>
      </c>
      <c r="G83" s="52" t="s">
        <v>122</v>
      </c>
    </row>
    <row r="84" spans="1:7" ht="30" hidden="1" customHeight="1" x14ac:dyDescent="0.35">
      <c r="A84" s="59" t="s">
        <v>40</v>
      </c>
      <c r="B84" s="73" t="s">
        <v>151</v>
      </c>
      <c r="C84" s="10" t="s">
        <v>34</v>
      </c>
      <c r="D84" s="115" t="s">
        <v>143</v>
      </c>
      <c r="E84" s="48" t="s">
        <v>171</v>
      </c>
      <c r="F84" s="70">
        <v>17.5</v>
      </c>
      <c r="G84" s="52" t="s">
        <v>56</v>
      </c>
    </row>
    <row r="85" spans="1:7" ht="30" hidden="1" customHeight="1" x14ac:dyDescent="0.35">
      <c r="A85" s="59" t="s">
        <v>40</v>
      </c>
      <c r="B85" s="73" t="s">
        <v>151</v>
      </c>
      <c r="C85" s="10" t="s">
        <v>34</v>
      </c>
      <c r="D85" s="115" t="s">
        <v>143</v>
      </c>
      <c r="E85" s="48" t="s">
        <v>172</v>
      </c>
      <c r="F85" s="70">
        <v>83.8</v>
      </c>
      <c r="G85" s="52" t="s">
        <v>45</v>
      </c>
    </row>
    <row r="86" spans="1:7" ht="30" hidden="1" customHeight="1" x14ac:dyDescent="0.35">
      <c r="A86" s="59" t="s">
        <v>40</v>
      </c>
      <c r="B86" s="73" t="s">
        <v>151</v>
      </c>
      <c r="C86" s="10" t="s">
        <v>34</v>
      </c>
      <c r="D86" s="115" t="s">
        <v>145</v>
      </c>
      <c r="E86" s="48" t="s">
        <v>173</v>
      </c>
      <c r="F86" s="70">
        <v>66.650000000000006</v>
      </c>
      <c r="G86" s="52" t="s">
        <v>217</v>
      </c>
    </row>
    <row r="87" spans="1:7" ht="30" hidden="1" customHeight="1" x14ac:dyDescent="0.35">
      <c r="A87" s="59" t="s">
        <v>40</v>
      </c>
      <c r="B87" s="73" t="s">
        <v>151</v>
      </c>
      <c r="C87" s="10" t="s">
        <v>34</v>
      </c>
      <c r="D87" s="115" t="s">
        <v>143</v>
      </c>
      <c r="E87" s="48" t="s">
        <v>154</v>
      </c>
      <c r="F87" s="70">
        <v>27</v>
      </c>
      <c r="G87" s="52" t="s">
        <v>60</v>
      </c>
    </row>
    <row r="88" spans="1:7" ht="30" hidden="1" customHeight="1" x14ac:dyDescent="0.35">
      <c r="A88" s="59" t="s">
        <v>40</v>
      </c>
      <c r="B88" s="73" t="s">
        <v>151</v>
      </c>
      <c r="C88" s="10" t="s">
        <v>34</v>
      </c>
      <c r="D88" s="115" t="s">
        <v>143</v>
      </c>
      <c r="E88" s="48" t="s">
        <v>154</v>
      </c>
      <c r="F88" s="70">
        <v>27.5</v>
      </c>
      <c r="G88" s="52" t="s">
        <v>60</v>
      </c>
    </row>
    <row r="89" spans="1:7" ht="30" hidden="1" customHeight="1" x14ac:dyDescent="0.35">
      <c r="A89" s="59" t="s">
        <v>40</v>
      </c>
      <c r="B89" s="73" t="s">
        <v>151</v>
      </c>
      <c r="C89" s="10" t="s">
        <v>34</v>
      </c>
      <c r="D89" s="115" t="s">
        <v>124</v>
      </c>
      <c r="E89" s="48" t="s">
        <v>174</v>
      </c>
      <c r="F89" s="70">
        <v>152</v>
      </c>
      <c r="G89" s="52" t="s">
        <v>217</v>
      </c>
    </row>
    <row r="90" spans="1:7" ht="30" hidden="1" customHeight="1" x14ac:dyDescent="0.35">
      <c r="A90" s="59" t="s">
        <v>40</v>
      </c>
      <c r="B90" s="73" t="s">
        <v>151</v>
      </c>
      <c r="C90" s="10" t="s">
        <v>34</v>
      </c>
      <c r="D90" s="115" t="s">
        <v>143</v>
      </c>
      <c r="E90" s="48" t="s">
        <v>175</v>
      </c>
      <c r="F90" s="70">
        <v>42.65</v>
      </c>
      <c r="G90" s="52" t="s">
        <v>217</v>
      </c>
    </row>
    <row r="91" spans="1:7" ht="30" hidden="1" customHeight="1" x14ac:dyDescent="0.35">
      <c r="A91" s="59" t="s">
        <v>40</v>
      </c>
      <c r="B91" s="73" t="s">
        <v>151</v>
      </c>
      <c r="C91" s="10" t="s">
        <v>34</v>
      </c>
      <c r="D91" s="115" t="s">
        <v>143</v>
      </c>
      <c r="E91" s="48" t="s">
        <v>176</v>
      </c>
      <c r="F91" s="70">
        <v>11</v>
      </c>
      <c r="G91" s="52" t="s">
        <v>45</v>
      </c>
    </row>
    <row r="92" spans="1:7" ht="30" hidden="1" customHeight="1" x14ac:dyDescent="0.35">
      <c r="A92" s="59" t="s">
        <v>40</v>
      </c>
      <c r="B92" s="73" t="s">
        <v>151</v>
      </c>
      <c r="C92" s="10" t="s">
        <v>34</v>
      </c>
      <c r="D92" s="115" t="s">
        <v>143</v>
      </c>
      <c r="E92" s="48" t="s">
        <v>177</v>
      </c>
      <c r="F92" s="70">
        <v>6.1</v>
      </c>
      <c r="G92" s="52" t="s">
        <v>47</v>
      </c>
    </row>
    <row r="93" spans="1:7" ht="30" hidden="1" customHeight="1" x14ac:dyDescent="0.35">
      <c r="A93" s="59" t="s">
        <v>40</v>
      </c>
      <c r="B93" s="73" t="s">
        <v>151</v>
      </c>
      <c r="C93" s="10" t="s">
        <v>34</v>
      </c>
      <c r="D93" s="115" t="s">
        <v>143</v>
      </c>
      <c r="E93" s="48" t="s">
        <v>178</v>
      </c>
      <c r="F93" s="70">
        <v>200</v>
      </c>
      <c r="G93" s="52" t="s">
        <v>62</v>
      </c>
    </row>
    <row r="94" spans="1:7" ht="30" hidden="1" customHeight="1" x14ac:dyDescent="0.35">
      <c r="A94" s="59" t="s">
        <v>40</v>
      </c>
      <c r="B94" s="73" t="s">
        <v>151</v>
      </c>
      <c r="C94" s="10" t="s">
        <v>34</v>
      </c>
      <c r="D94" s="115" t="s">
        <v>143</v>
      </c>
      <c r="E94" s="48" t="s">
        <v>179</v>
      </c>
      <c r="F94" s="70">
        <v>33</v>
      </c>
      <c r="G94" s="52" t="s">
        <v>54</v>
      </c>
    </row>
    <row r="95" spans="1:7" ht="30" hidden="1" customHeight="1" x14ac:dyDescent="0.35">
      <c r="A95" s="59" t="s">
        <v>40</v>
      </c>
      <c r="B95" s="73" t="s">
        <v>151</v>
      </c>
      <c r="C95" s="10" t="s">
        <v>34</v>
      </c>
      <c r="D95" s="115" t="s">
        <v>145</v>
      </c>
      <c r="E95" s="48" t="s">
        <v>180</v>
      </c>
      <c r="F95" s="70">
        <v>619.94000000000005</v>
      </c>
      <c r="G95" s="52" t="s">
        <v>62</v>
      </c>
    </row>
    <row r="96" spans="1:7" ht="30" hidden="1" customHeight="1" x14ac:dyDescent="0.35">
      <c r="A96" s="59" t="s">
        <v>40</v>
      </c>
      <c r="B96" s="73" t="s">
        <v>151</v>
      </c>
      <c r="C96" s="10" t="s">
        <v>34</v>
      </c>
      <c r="D96" s="115" t="s">
        <v>143</v>
      </c>
      <c r="E96" s="48" t="s">
        <v>154</v>
      </c>
      <c r="F96" s="70">
        <v>11.7</v>
      </c>
      <c r="G96" s="52" t="s">
        <v>60</v>
      </c>
    </row>
    <row r="97" spans="1:7" ht="30" hidden="1" customHeight="1" x14ac:dyDescent="0.35">
      <c r="A97" s="59" t="s">
        <v>40</v>
      </c>
      <c r="B97" s="73" t="s">
        <v>151</v>
      </c>
      <c r="C97" s="10" t="s">
        <v>34</v>
      </c>
      <c r="D97" s="115" t="s">
        <v>143</v>
      </c>
      <c r="E97" s="48" t="s">
        <v>154</v>
      </c>
      <c r="F97" s="70">
        <v>7.5</v>
      </c>
      <c r="G97" s="52" t="s">
        <v>60</v>
      </c>
    </row>
    <row r="98" spans="1:7" ht="30" hidden="1" customHeight="1" x14ac:dyDescent="0.35">
      <c r="A98" s="59" t="s">
        <v>40</v>
      </c>
      <c r="B98" s="73" t="s">
        <v>151</v>
      </c>
      <c r="C98" s="10" t="s">
        <v>34</v>
      </c>
      <c r="D98" s="115" t="s">
        <v>143</v>
      </c>
      <c r="E98" s="48" t="s">
        <v>181</v>
      </c>
      <c r="F98" s="70">
        <v>66.599999999999994</v>
      </c>
      <c r="G98" s="52" t="s">
        <v>59</v>
      </c>
    </row>
    <row r="99" spans="1:7" ht="30" hidden="1" customHeight="1" x14ac:dyDescent="0.35">
      <c r="A99" s="59" t="s">
        <v>40</v>
      </c>
      <c r="B99" s="73" t="s">
        <v>151</v>
      </c>
      <c r="C99" s="10" t="s">
        <v>34</v>
      </c>
      <c r="D99" s="115" t="s">
        <v>145</v>
      </c>
      <c r="E99" s="48" t="s">
        <v>221</v>
      </c>
      <c r="F99" s="70">
        <v>83.3</v>
      </c>
      <c r="G99" s="52" t="s">
        <v>113</v>
      </c>
    </row>
    <row r="100" spans="1:7" ht="30" hidden="1" customHeight="1" x14ac:dyDescent="0.35">
      <c r="A100" s="59" t="s">
        <v>40</v>
      </c>
      <c r="B100" s="73" t="s">
        <v>151</v>
      </c>
      <c r="C100" s="10" t="s">
        <v>34</v>
      </c>
      <c r="D100" s="115" t="s">
        <v>143</v>
      </c>
      <c r="E100" s="48" t="s">
        <v>154</v>
      </c>
      <c r="F100" s="70">
        <v>8</v>
      </c>
      <c r="G100" s="52" t="s">
        <v>60</v>
      </c>
    </row>
    <row r="101" spans="1:7" ht="30" hidden="1" customHeight="1" x14ac:dyDescent="0.35">
      <c r="A101" s="59" t="s">
        <v>40</v>
      </c>
      <c r="B101" s="73" t="s">
        <v>151</v>
      </c>
      <c r="C101" s="10" t="s">
        <v>34</v>
      </c>
      <c r="D101" s="115" t="s">
        <v>143</v>
      </c>
      <c r="E101" s="48" t="s">
        <v>155</v>
      </c>
      <c r="F101" s="70">
        <v>72.94</v>
      </c>
      <c r="G101" s="52" t="s">
        <v>47</v>
      </c>
    </row>
    <row r="102" spans="1:7" ht="30" hidden="1" customHeight="1" x14ac:dyDescent="0.35">
      <c r="A102" s="59" t="s">
        <v>40</v>
      </c>
      <c r="B102" s="73" t="s">
        <v>151</v>
      </c>
      <c r="C102" s="10" t="s">
        <v>34</v>
      </c>
      <c r="D102" s="115" t="s">
        <v>143</v>
      </c>
      <c r="E102" s="48" t="s">
        <v>182</v>
      </c>
      <c r="F102" s="70">
        <v>37.42</v>
      </c>
      <c r="G102" s="52" t="s">
        <v>47</v>
      </c>
    </row>
    <row r="103" spans="1:7" ht="30" hidden="1" customHeight="1" x14ac:dyDescent="0.35">
      <c r="A103" s="59" t="s">
        <v>40</v>
      </c>
      <c r="B103" s="73" t="s">
        <v>151</v>
      </c>
      <c r="C103" s="10" t="s">
        <v>25</v>
      </c>
      <c r="D103" s="115" t="s">
        <v>143</v>
      </c>
      <c r="E103" s="48" t="s">
        <v>183</v>
      </c>
      <c r="F103" s="70">
        <v>3613.84</v>
      </c>
      <c r="G103" s="52"/>
    </row>
    <row r="104" spans="1:7" ht="30" hidden="1" customHeight="1" x14ac:dyDescent="0.35">
      <c r="A104" s="59" t="s">
        <v>40</v>
      </c>
      <c r="B104" s="73" t="s">
        <v>151</v>
      </c>
      <c r="C104" s="10" t="s">
        <v>34</v>
      </c>
      <c r="D104" s="115" t="s">
        <v>143</v>
      </c>
      <c r="E104" s="48" t="s">
        <v>216</v>
      </c>
      <c r="F104" s="70">
        <v>495.62</v>
      </c>
      <c r="G104" s="52" t="s">
        <v>61</v>
      </c>
    </row>
    <row r="105" spans="1:7" ht="30" hidden="1" customHeight="1" x14ac:dyDescent="0.35">
      <c r="A105" s="59" t="s">
        <v>40</v>
      </c>
      <c r="B105" s="73" t="s">
        <v>151</v>
      </c>
      <c r="C105" s="10" t="s">
        <v>34</v>
      </c>
      <c r="D105" s="115" t="s">
        <v>143</v>
      </c>
      <c r="E105" s="48" t="s">
        <v>177</v>
      </c>
      <c r="F105" s="70">
        <v>12.89</v>
      </c>
      <c r="G105" s="52" t="s">
        <v>47</v>
      </c>
    </row>
    <row r="106" spans="1:7" ht="30" hidden="1" customHeight="1" x14ac:dyDescent="0.35">
      <c r="A106" s="59" t="s">
        <v>40</v>
      </c>
      <c r="B106" s="73" t="s">
        <v>151</v>
      </c>
      <c r="C106" s="10" t="s">
        <v>34</v>
      </c>
      <c r="D106" s="115" t="s">
        <v>68</v>
      </c>
      <c r="E106" s="48" t="s">
        <v>184</v>
      </c>
      <c r="F106" s="70">
        <v>24.9</v>
      </c>
      <c r="G106" s="52" t="s">
        <v>59</v>
      </c>
    </row>
    <row r="107" spans="1:7" ht="30" hidden="1" customHeight="1" x14ac:dyDescent="0.35">
      <c r="A107" s="59" t="s">
        <v>40</v>
      </c>
      <c r="B107" s="73" t="s">
        <v>151</v>
      </c>
      <c r="C107" s="10" t="s">
        <v>34</v>
      </c>
      <c r="D107" s="115" t="s">
        <v>143</v>
      </c>
      <c r="E107" s="48" t="s">
        <v>185</v>
      </c>
      <c r="F107" s="70">
        <v>24.9</v>
      </c>
      <c r="G107" s="52" t="s">
        <v>59</v>
      </c>
    </row>
    <row r="108" spans="1:7" ht="30" hidden="1" customHeight="1" x14ac:dyDescent="0.35">
      <c r="A108" s="59" t="s">
        <v>40</v>
      </c>
      <c r="B108" s="73" t="s">
        <v>151</v>
      </c>
      <c r="C108" s="10" t="s">
        <v>34</v>
      </c>
      <c r="D108" s="115" t="s">
        <v>143</v>
      </c>
      <c r="E108" s="48" t="s">
        <v>186</v>
      </c>
      <c r="F108" s="70">
        <v>88.7</v>
      </c>
      <c r="G108" s="52" t="s">
        <v>113</v>
      </c>
    </row>
    <row r="109" spans="1:7" ht="30" hidden="1" customHeight="1" x14ac:dyDescent="0.35">
      <c r="A109" s="59" t="s">
        <v>40</v>
      </c>
      <c r="B109" s="73" t="s">
        <v>151</v>
      </c>
      <c r="C109" s="10" t="s">
        <v>34</v>
      </c>
      <c r="D109" s="115" t="s">
        <v>143</v>
      </c>
      <c r="E109" s="48" t="s">
        <v>227</v>
      </c>
      <c r="F109" s="70">
        <v>225.5</v>
      </c>
      <c r="G109" s="52" t="s">
        <v>45</v>
      </c>
    </row>
    <row r="110" spans="1:7" ht="30" hidden="1" customHeight="1" x14ac:dyDescent="0.35">
      <c r="A110" s="59" t="s">
        <v>40</v>
      </c>
      <c r="B110" s="73" t="s">
        <v>151</v>
      </c>
      <c r="C110" s="10" t="s">
        <v>34</v>
      </c>
      <c r="D110" s="115" t="s">
        <v>143</v>
      </c>
      <c r="E110" s="48" t="s">
        <v>187</v>
      </c>
      <c r="F110" s="70">
        <v>64.150000000000006</v>
      </c>
      <c r="G110" s="52" t="s">
        <v>46</v>
      </c>
    </row>
    <row r="111" spans="1:7" ht="30" hidden="1" customHeight="1" x14ac:dyDescent="0.35">
      <c r="A111" s="59" t="s">
        <v>40</v>
      </c>
      <c r="B111" s="73" t="s">
        <v>151</v>
      </c>
      <c r="C111" s="10" t="s">
        <v>34</v>
      </c>
      <c r="D111" s="115" t="s">
        <v>143</v>
      </c>
      <c r="E111" s="48" t="s">
        <v>188</v>
      </c>
      <c r="F111" s="70">
        <v>12.99</v>
      </c>
      <c r="G111" s="52" t="s">
        <v>46</v>
      </c>
    </row>
    <row r="112" spans="1:7" ht="30" hidden="1" customHeight="1" x14ac:dyDescent="0.35">
      <c r="A112" s="59" t="s">
        <v>40</v>
      </c>
      <c r="B112" s="73" t="s">
        <v>151</v>
      </c>
      <c r="C112" s="10" t="s">
        <v>34</v>
      </c>
      <c r="D112" s="115" t="s">
        <v>143</v>
      </c>
      <c r="E112" s="48" t="s">
        <v>159</v>
      </c>
      <c r="F112" s="70">
        <v>50</v>
      </c>
      <c r="G112" s="52" t="s">
        <v>122</v>
      </c>
    </row>
    <row r="113" spans="1:7" ht="30" hidden="1" customHeight="1" x14ac:dyDescent="0.35">
      <c r="A113" s="59" t="s">
        <v>40</v>
      </c>
      <c r="B113" s="73" t="s">
        <v>151</v>
      </c>
      <c r="C113" s="10" t="s">
        <v>34</v>
      </c>
      <c r="D113" s="115" t="s">
        <v>143</v>
      </c>
      <c r="E113" s="48" t="s">
        <v>189</v>
      </c>
      <c r="F113" s="70">
        <v>30</v>
      </c>
      <c r="G113" s="52" t="s">
        <v>59</v>
      </c>
    </row>
    <row r="114" spans="1:7" ht="30" hidden="1" customHeight="1" x14ac:dyDescent="0.35">
      <c r="A114" s="59" t="s">
        <v>40</v>
      </c>
      <c r="B114" s="73" t="s">
        <v>151</v>
      </c>
      <c r="C114" s="10" t="s">
        <v>34</v>
      </c>
      <c r="D114" s="115" t="s">
        <v>143</v>
      </c>
      <c r="E114" s="48" t="s">
        <v>226</v>
      </c>
      <c r="F114" s="70">
        <v>119.9</v>
      </c>
      <c r="G114" s="52" t="s">
        <v>61</v>
      </c>
    </row>
    <row r="115" spans="1:7" ht="30" hidden="1" customHeight="1" x14ac:dyDescent="0.35">
      <c r="A115" s="59" t="s">
        <v>40</v>
      </c>
      <c r="B115" s="73" t="s">
        <v>151</v>
      </c>
      <c r="C115" s="10" t="s">
        <v>34</v>
      </c>
      <c r="D115" s="115" t="s">
        <v>143</v>
      </c>
      <c r="E115" s="48" t="s">
        <v>190</v>
      </c>
      <c r="F115" s="70">
        <v>416.92</v>
      </c>
      <c r="G115" s="52" t="s">
        <v>47</v>
      </c>
    </row>
    <row r="116" spans="1:7" ht="30" hidden="1" customHeight="1" x14ac:dyDescent="0.35">
      <c r="A116" s="59" t="s">
        <v>40</v>
      </c>
      <c r="B116" s="73" t="s">
        <v>151</v>
      </c>
      <c r="C116" s="10" t="s">
        <v>34</v>
      </c>
      <c r="D116" s="115" t="s">
        <v>143</v>
      </c>
      <c r="E116" s="48" t="s">
        <v>190</v>
      </c>
      <c r="F116" s="70">
        <v>299.45999999999998</v>
      </c>
      <c r="G116" s="52" t="s">
        <v>47</v>
      </c>
    </row>
    <row r="117" spans="1:7" ht="30" hidden="1" customHeight="1" x14ac:dyDescent="0.35">
      <c r="A117" s="59" t="s">
        <v>40</v>
      </c>
      <c r="B117" s="73" t="s">
        <v>151</v>
      </c>
      <c r="C117" s="10" t="s">
        <v>34</v>
      </c>
      <c r="D117" s="115" t="s">
        <v>145</v>
      </c>
      <c r="E117" s="48" t="s">
        <v>191</v>
      </c>
      <c r="F117" s="70">
        <v>51.98</v>
      </c>
      <c r="G117" s="52" t="s">
        <v>61</v>
      </c>
    </row>
    <row r="118" spans="1:7" ht="30" hidden="1" customHeight="1" x14ac:dyDescent="0.35">
      <c r="A118" s="59" t="s">
        <v>40</v>
      </c>
      <c r="B118" s="73" t="s">
        <v>151</v>
      </c>
      <c r="C118" s="10" t="s">
        <v>34</v>
      </c>
      <c r="D118" s="115" t="s">
        <v>143</v>
      </c>
      <c r="E118" s="48" t="s">
        <v>192</v>
      </c>
      <c r="F118" s="70">
        <v>630.74</v>
      </c>
      <c r="G118" s="52" t="s">
        <v>56</v>
      </c>
    </row>
    <row r="119" spans="1:7" ht="30" hidden="1" customHeight="1" x14ac:dyDescent="0.35">
      <c r="A119" s="59" t="s">
        <v>40</v>
      </c>
      <c r="B119" s="73" t="s">
        <v>151</v>
      </c>
      <c r="C119" s="10" t="s">
        <v>34</v>
      </c>
      <c r="D119" s="115" t="s">
        <v>143</v>
      </c>
      <c r="E119" s="48" t="s">
        <v>193</v>
      </c>
      <c r="F119" s="70">
        <v>7.95</v>
      </c>
      <c r="G119" s="52" t="s">
        <v>46</v>
      </c>
    </row>
    <row r="120" spans="1:7" ht="30" hidden="1" customHeight="1" x14ac:dyDescent="0.35">
      <c r="A120" s="59" t="s">
        <v>40</v>
      </c>
      <c r="B120" s="73" t="s">
        <v>151</v>
      </c>
      <c r="C120" s="10" t="s">
        <v>34</v>
      </c>
      <c r="D120" s="115" t="s">
        <v>143</v>
      </c>
      <c r="E120" s="48" t="s">
        <v>194</v>
      </c>
      <c r="F120" s="70">
        <v>156.59</v>
      </c>
      <c r="G120" s="52" t="s">
        <v>47</v>
      </c>
    </row>
    <row r="121" spans="1:7" ht="30" hidden="1" customHeight="1" x14ac:dyDescent="0.35">
      <c r="A121" s="59" t="s">
        <v>40</v>
      </c>
      <c r="B121" s="73" t="s">
        <v>151</v>
      </c>
      <c r="C121" s="10" t="s">
        <v>34</v>
      </c>
      <c r="D121" s="115" t="s">
        <v>143</v>
      </c>
      <c r="E121" s="48" t="s">
        <v>182</v>
      </c>
      <c r="F121" s="70">
        <v>87.61</v>
      </c>
      <c r="G121" s="52" t="s">
        <v>47</v>
      </c>
    </row>
    <row r="122" spans="1:7" ht="30" hidden="1" customHeight="1" x14ac:dyDescent="0.35">
      <c r="A122" s="59" t="s">
        <v>40</v>
      </c>
      <c r="B122" s="73" t="s">
        <v>151</v>
      </c>
      <c r="C122" s="10" t="s">
        <v>34</v>
      </c>
      <c r="D122" s="115" t="s">
        <v>143</v>
      </c>
      <c r="E122" s="48" t="s">
        <v>225</v>
      </c>
      <c r="F122" s="70">
        <v>32.9</v>
      </c>
      <c r="G122" s="52" t="s">
        <v>54</v>
      </c>
    </row>
    <row r="123" spans="1:7" ht="30" hidden="1" customHeight="1" x14ac:dyDescent="0.35">
      <c r="A123" s="59" t="s">
        <v>40</v>
      </c>
      <c r="B123" s="73" t="s">
        <v>151</v>
      </c>
      <c r="C123" s="10" t="s">
        <v>34</v>
      </c>
      <c r="D123" s="115" t="s">
        <v>143</v>
      </c>
      <c r="E123" s="48" t="s">
        <v>195</v>
      </c>
      <c r="F123" s="70">
        <f>228.14-63.8</f>
        <v>164.33999999999997</v>
      </c>
      <c r="G123" s="52" t="s">
        <v>54</v>
      </c>
    </row>
    <row r="124" spans="1:7" ht="30" hidden="1" customHeight="1" x14ac:dyDescent="0.35">
      <c r="A124" s="59" t="s">
        <v>40</v>
      </c>
      <c r="B124" s="73" t="s">
        <v>151</v>
      </c>
      <c r="C124" s="10" t="s">
        <v>34</v>
      </c>
      <c r="D124" s="115" t="s">
        <v>143</v>
      </c>
      <c r="E124" s="48" t="s">
        <v>224</v>
      </c>
      <c r="F124" s="70">
        <f>(17.9*2)+(7*4)</f>
        <v>63.8</v>
      </c>
      <c r="G124" s="52" t="s">
        <v>61</v>
      </c>
    </row>
    <row r="125" spans="1:7" ht="30" hidden="1" customHeight="1" x14ac:dyDescent="0.35">
      <c r="A125" s="59" t="s">
        <v>40</v>
      </c>
      <c r="B125" s="73" t="s">
        <v>151</v>
      </c>
      <c r="C125" s="10" t="s">
        <v>34</v>
      </c>
      <c r="D125" s="115" t="s">
        <v>143</v>
      </c>
      <c r="E125" s="48" t="s">
        <v>196</v>
      </c>
      <c r="F125" s="70">
        <v>50</v>
      </c>
      <c r="G125" s="52" t="s">
        <v>122</v>
      </c>
    </row>
    <row r="126" spans="1:7" ht="30" hidden="1" customHeight="1" x14ac:dyDescent="0.35">
      <c r="A126" s="59" t="s">
        <v>40</v>
      </c>
      <c r="B126" s="73" t="s">
        <v>151</v>
      </c>
      <c r="C126" s="10" t="s">
        <v>34</v>
      </c>
      <c r="D126" s="115" t="s">
        <v>143</v>
      </c>
      <c r="E126" s="48" t="s">
        <v>197</v>
      </c>
      <c r="F126" s="70">
        <v>124.99</v>
      </c>
      <c r="G126" s="52" t="s">
        <v>61</v>
      </c>
    </row>
    <row r="127" spans="1:7" ht="30" hidden="1" customHeight="1" x14ac:dyDescent="0.35">
      <c r="A127" s="59" t="s">
        <v>40</v>
      </c>
      <c r="B127" s="73" t="s">
        <v>151</v>
      </c>
      <c r="C127" s="10" t="s">
        <v>34</v>
      </c>
      <c r="D127" s="115" t="s">
        <v>99</v>
      </c>
      <c r="E127" s="48" t="s">
        <v>198</v>
      </c>
      <c r="F127" s="70">
        <v>276.77</v>
      </c>
      <c r="G127" s="52" t="s">
        <v>54</v>
      </c>
    </row>
    <row r="128" spans="1:7" ht="30" customHeight="1" x14ac:dyDescent="0.35">
      <c r="A128" s="59" t="s">
        <v>40</v>
      </c>
      <c r="B128" s="73" t="s">
        <v>151</v>
      </c>
      <c r="C128" s="10" t="s">
        <v>16</v>
      </c>
      <c r="D128" s="115" t="s">
        <v>199</v>
      </c>
      <c r="E128" s="48" t="s">
        <v>200</v>
      </c>
      <c r="F128" s="70">
        <v>104.45</v>
      </c>
      <c r="G128" s="52"/>
    </row>
    <row r="129" spans="1:7" ht="30" hidden="1" customHeight="1" x14ac:dyDescent="0.35">
      <c r="A129" s="59" t="s">
        <v>40</v>
      </c>
      <c r="B129" s="73" t="s">
        <v>151</v>
      </c>
      <c r="C129" s="10" t="s">
        <v>34</v>
      </c>
      <c r="D129" s="115" t="s">
        <v>99</v>
      </c>
      <c r="E129" s="48" t="s">
        <v>201</v>
      </c>
      <c r="F129" s="70">
        <v>135.35</v>
      </c>
      <c r="G129" s="52" t="s">
        <v>112</v>
      </c>
    </row>
    <row r="130" spans="1:7" ht="30" hidden="1" customHeight="1" x14ac:dyDescent="0.35">
      <c r="A130" s="59" t="s">
        <v>40</v>
      </c>
      <c r="B130" s="73" t="s">
        <v>151</v>
      </c>
      <c r="C130" s="10" t="s">
        <v>34</v>
      </c>
      <c r="D130" s="115" t="s">
        <v>99</v>
      </c>
      <c r="E130" s="48" t="s">
        <v>202</v>
      </c>
      <c r="F130" s="70">
        <v>69</v>
      </c>
      <c r="G130" s="52" t="s">
        <v>61</v>
      </c>
    </row>
    <row r="131" spans="1:7" ht="30" hidden="1" customHeight="1" x14ac:dyDescent="0.35">
      <c r="A131" s="59" t="s">
        <v>40</v>
      </c>
      <c r="B131" s="73" t="s">
        <v>151</v>
      </c>
      <c r="C131" s="10" t="s">
        <v>34</v>
      </c>
      <c r="D131" s="115" t="s">
        <v>99</v>
      </c>
      <c r="E131" s="48" t="s">
        <v>203</v>
      </c>
      <c r="F131" s="70">
        <v>65.36</v>
      </c>
      <c r="G131" s="52" t="s">
        <v>48</v>
      </c>
    </row>
    <row r="132" spans="1:7" ht="30" hidden="1" customHeight="1" x14ac:dyDescent="0.35">
      <c r="A132" s="59" t="s">
        <v>40</v>
      </c>
      <c r="B132" s="73" t="s">
        <v>151</v>
      </c>
      <c r="C132" s="10" t="s">
        <v>34</v>
      </c>
      <c r="D132" s="115" t="s">
        <v>99</v>
      </c>
      <c r="E132" s="48" t="s">
        <v>204</v>
      </c>
      <c r="F132" s="70">
        <v>48.01</v>
      </c>
      <c r="G132" s="52" t="s">
        <v>54</v>
      </c>
    </row>
    <row r="133" spans="1:7" ht="30" hidden="1" customHeight="1" x14ac:dyDescent="0.35">
      <c r="A133" s="59" t="s">
        <v>40</v>
      </c>
      <c r="B133" s="73" t="s">
        <v>151</v>
      </c>
      <c r="C133" s="10" t="s">
        <v>34</v>
      </c>
      <c r="D133" s="115" t="s">
        <v>99</v>
      </c>
      <c r="E133" s="64" t="s">
        <v>220</v>
      </c>
      <c r="F133" s="70">
        <v>190.08</v>
      </c>
      <c r="G133" s="52" t="s">
        <v>54</v>
      </c>
    </row>
    <row r="134" spans="1:7" ht="30" hidden="1" customHeight="1" x14ac:dyDescent="0.35">
      <c r="A134" s="59" t="s">
        <v>40</v>
      </c>
      <c r="B134" s="73" t="s">
        <v>151</v>
      </c>
      <c r="C134" s="10" t="s">
        <v>34</v>
      </c>
      <c r="D134" s="115" t="s">
        <v>90</v>
      </c>
      <c r="E134" s="48" t="s">
        <v>205</v>
      </c>
      <c r="F134" s="70">
        <v>9.9</v>
      </c>
      <c r="G134" s="52" t="s">
        <v>61</v>
      </c>
    </row>
    <row r="135" spans="1:7" ht="30" hidden="1" customHeight="1" x14ac:dyDescent="0.35">
      <c r="A135" s="59" t="s">
        <v>40</v>
      </c>
      <c r="B135" s="73" t="s">
        <v>151</v>
      </c>
      <c r="C135" s="10" t="s">
        <v>34</v>
      </c>
      <c r="D135" s="115" t="s">
        <v>142</v>
      </c>
      <c r="E135" s="48" t="s">
        <v>206</v>
      </c>
      <c r="F135" s="70">
        <v>81.22</v>
      </c>
      <c r="G135" s="52" t="s">
        <v>61</v>
      </c>
    </row>
    <row r="136" spans="1:7" ht="30" hidden="1" customHeight="1" x14ac:dyDescent="0.35">
      <c r="A136" s="59" t="s">
        <v>40</v>
      </c>
      <c r="B136" s="73" t="s">
        <v>151</v>
      </c>
      <c r="C136" s="10" t="s">
        <v>34</v>
      </c>
      <c r="D136" s="116" t="s">
        <v>42</v>
      </c>
      <c r="E136" s="48" t="s">
        <v>207</v>
      </c>
      <c r="F136" s="70">
        <v>72.239999999999995</v>
      </c>
      <c r="G136" s="52" t="s">
        <v>62</v>
      </c>
    </row>
    <row r="137" spans="1:7" ht="30" hidden="1" customHeight="1" x14ac:dyDescent="0.35">
      <c r="A137" s="59" t="s">
        <v>40</v>
      </c>
      <c r="B137" s="73" t="s">
        <v>151</v>
      </c>
      <c r="C137" s="10" t="s">
        <v>34</v>
      </c>
      <c r="D137" s="115" t="s">
        <v>42</v>
      </c>
      <c r="E137" s="48" t="s">
        <v>208</v>
      </c>
      <c r="F137" s="70">
        <v>132.03</v>
      </c>
      <c r="G137" s="52" t="s">
        <v>62</v>
      </c>
    </row>
    <row r="138" spans="1:7" ht="30" hidden="1" customHeight="1" x14ac:dyDescent="0.35">
      <c r="A138" s="59" t="s">
        <v>40</v>
      </c>
      <c r="B138" s="73" t="s">
        <v>151</v>
      </c>
      <c r="C138" s="10" t="s">
        <v>34</v>
      </c>
      <c r="D138" s="115" t="s">
        <v>43</v>
      </c>
      <c r="E138" s="48" t="s">
        <v>209</v>
      </c>
      <c r="F138" s="70">
        <v>95</v>
      </c>
      <c r="G138" s="52" t="s">
        <v>62</v>
      </c>
    </row>
    <row r="139" spans="1:7" ht="30" customHeight="1" x14ac:dyDescent="0.35">
      <c r="A139" s="59" t="s">
        <v>40</v>
      </c>
      <c r="B139" s="73" t="s">
        <v>151</v>
      </c>
      <c r="C139" s="10" t="s">
        <v>16</v>
      </c>
      <c r="D139" s="115" t="s">
        <v>132</v>
      </c>
      <c r="E139" s="48" t="s">
        <v>210</v>
      </c>
      <c r="F139" s="70">
        <v>429</v>
      </c>
      <c r="G139" s="52"/>
    </row>
    <row r="140" spans="1:7" ht="30" hidden="1" customHeight="1" x14ac:dyDescent="0.35">
      <c r="A140" s="59" t="s">
        <v>40</v>
      </c>
      <c r="B140" s="73" t="s">
        <v>151</v>
      </c>
      <c r="C140" s="10" t="s">
        <v>25</v>
      </c>
      <c r="D140" s="115" t="s">
        <v>211</v>
      </c>
      <c r="E140" s="48" t="s">
        <v>212</v>
      </c>
      <c r="F140" s="70">
        <v>138.04</v>
      </c>
      <c r="G140" s="52" t="s">
        <v>52</v>
      </c>
    </row>
    <row r="141" spans="1:7" ht="30" hidden="1" customHeight="1" x14ac:dyDescent="0.35">
      <c r="A141" s="59" t="s">
        <v>40</v>
      </c>
      <c r="B141" s="73" t="s">
        <v>151</v>
      </c>
      <c r="C141" s="10" t="s">
        <v>34</v>
      </c>
      <c r="D141" s="115" t="s">
        <v>213</v>
      </c>
      <c r="E141" s="48" t="s">
        <v>214</v>
      </c>
      <c r="F141" s="70">
        <v>59.9</v>
      </c>
      <c r="G141" s="52" t="s">
        <v>54</v>
      </c>
    </row>
    <row r="142" spans="1:7" ht="30" hidden="1" customHeight="1" x14ac:dyDescent="0.35">
      <c r="A142" s="59" t="s">
        <v>40</v>
      </c>
      <c r="B142" s="73" t="s">
        <v>151</v>
      </c>
      <c r="C142" s="10" t="s">
        <v>34</v>
      </c>
      <c r="D142" s="115" t="s">
        <v>215</v>
      </c>
      <c r="E142" s="48" t="s">
        <v>219</v>
      </c>
      <c r="F142" s="70">
        <v>56.18</v>
      </c>
      <c r="G142" s="52" t="s">
        <v>56</v>
      </c>
    </row>
  </sheetData>
  <mergeCells count="1">
    <mergeCell ref="A2:C3"/>
  </mergeCells>
  <phoneticPr fontId="39" type="noConversion"/>
  <dataValidations count="3">
    <dataValidation allowBlank="1" showInputMessage="1" showErrorMessage="1" prompt="O título desta planilha está nesta célula." sqref="A2:B2" xr:uid="{2D4E8895-0B47-4C72-B699-0A9E9EB0569E}"/>
    <dataValidation allowBlank="1" showInputMessage="1" showErrorMessage="1" prompt="Insira os Itens de despesa mensal na coluna sob este cabeçalho. Use filtros de cabeçalho para localizar entradas de itens específicos." sqref="C4" xr:uid="{AB0DA63A-E29A-43C2-96C5-59D0A9033600}"/>
    <dataValidation allowBlank="1" showInputMessage="1" showErrorMessage="1" prompt="Insira o Valor na coluna sob este cabeçalho." sqref="D4:E4" xr:uid="{C58F2E58-256C-41AD-8811-253FC210417D}"/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83166C-A876-445A-BA8D-78FE41377B03}">
          <x14:formula1>
            <xm:f>Listas!$A$2:$A$52</xm:f>
          </x14:formula1>
          <xm:sqref>G3 G50:G1048576 G23 G17:G21 G5:G15 G25:G38 G40:G47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DCEC-4D21-4559-8239-7E9E72751BF8}">
  <dimension ref="B1:L34"/>
  <sheetViews>
    <sheetView topLeftCell="A17" workbookViewId="0">
      <selection activeCell="F28" sqref="F28"/>
    </sheetView>
  </sheetViews>
  <sheetFormatPr defaultRowHeight="14.6" x14ac:dyDescent="0.35"/>
  <cols>
    <col min="1" max="1" width="2.2109375" customWidth="1"/>
    <col min="2" max="2" width="19.2109375" customWidth="1"/>
    <col min="3" max="3" width="15.7109375" bestFit="1" customWidth="1"/>
    <col min="4" max="4" width="8.2109375" bestFit="1" customWidth="1"/>
    <col min="5" max="5" width="32.7109375" customWidth="1"/>
    <col min="6" max="6" width="12.640625" customWidth="1"/>
    <col min="8" max="8" width="19" bestFit="1" customWidth="1"/>
    <col min="9" max="9" width="15.7109375" bestFit="1" customWidth="1"/>
    <col min="10" max="10" width="8.2109375" bestFit="1" customWidth="1"/>
    <col min="11" max="11" width="26.42578125" bestFit="1" customWidth="1"/>
    <col min="12" max="12" width="12.35546875" bestFit="1" customWidth="1"/>
    <col min="14" max="14" width="24.35546875" customWidth="1"/>
    <col min="15" max="15" width="30.2109375" customWidth="1"/>
  </cols>
  <sheetData>
    <row r="1" spans="2:12" ht="7.3" customHeight="1" thickBot="1" x14ac:dyDescent="0.4"/>
    <row r="2" spans="2:12" ht="15" customHeight="1" thickBot="1" x14ac:dyDescent="0.4">
      <c r="B2" s="124" t="s">
        <v>126</v>
      </c>
      <c r="C2" s="125"/>
      <c r="D2" s="125"/>
      <c r="E2" s="125"/>
      <c r="F2" s="88">
        <f>SUM(F4:F16)</f>
        <v>2742.0899999999997</v>
      </c>
      <c r="H2" s="124" t="s">
        <v>134</v>
      </c>
      <c r="I2" s="125"/>
      <c r="J2" s="125"/>
      <c r="K2" s="125"/>
      <c r="L2" s="88">
        <f>SUM(L4:L13)</f>
        <v>2399.12</v>
      </c>
    </row>
    <row r="3" spans="2:12" ht="15.9" thickTop="1" thickBot="1" x14ac:dyDescent="0.4">
      <c r="B3" s="78" t="s">
        <v>28</v>
      </c>
      <c r="C3" s="74" t="s">
        <v>22</v>
      </c>
      <c r="D3" s="75" t="s">
        <v>29</v>
      </c>
      <c r="E3" s="76" t="s">
        <v>27</v>
      </c>
      <c r="F3" s="79" t="s">
        <v>9</v>
      </c>
      <c r="H3" s="78" t="s">
        <v>28</v>
      </c>
      <c r="I3" s="74" t="s">
        <v>22</v>
      </c>
      <c r="J3" s="75" t="s">
        <v>29</v>
      </c>
      <c r="K3" s="76" t="s">
        <v>27</v>
      </c>
      <c r="L3" s="79" t="s">
        <v>9</v>
      </c>
    </row>
    <row r="4" spans="2:12" ht="15.9" thickTop="1" x14ac:dyDescent="0.35">
      <c r="B4" s="80" t="s">
        <v>32</v>
      </c>
      <c r="C4" s="73">
        <v>18</v>
      </c>
      <c r="D4" s="81" t="s">
        <v>90</v>
      </c>
      <c r="E4" s="48" t="s">
        <v>91</v>
      </c>
      <c r="F4" s="82">
        <v>541.11</v>
      </c>
      <c r="H4" s="80" t="s">
        <v>32</v>
      </c>
      <c r="I4" s="73">
        <v>18</v>
      </c>
      <c r="J4" s="81" t="s">
        <v>118</v>
      </c>
      <c r="K4" s="48" t="s">
        <v>91</v>
      </c>
      <c r="L4" s="82">
        <v>541.11</v>
      </c>
    </row>
    <row r="5" spans="2:12" ht="15.45" x14ac:dyDescent="0.35">
      <c r="B5" s="80" t="s">
        <v>125</v>
      </c>
      <c r="C5" s="73">
        <v>20</v>
      </c>
      <c r="D5" s="81" t="s">
        <v>102</v>
      </c>
      <c r="E5" s="48" t="s">
        <v>110</v>
      </c>
      <c r="F5" s="82">
        <v>33.22</v>
      </c>
      <c r="H5" s="80" t="s">
        <v>125</v>
      </c>
      <c r="I5" s="73">
        <v>20</v>
      </c>
      <c r="J5" s="81" t="s">
        <v>130</v>
      </c>
      <c r="K5" s="48" t="s">
        <v>110</v>
      </c>
      <c r="L5" s="82">
        <v>33.22</v>
      </c>
    </row>
    <row r="6" spans="2:12" ht="15.45" x14ac:dyDescent="0.35">
      <c r="B6" s="80" t="s">
        <v>36</v>
      </c>
      <c r="C6" s="73">
        <v>6</v>
      </c>
      <c r="D6" s="81" t="s">
        <v>114</v>
      </c>
      <c r="E6" s="48" t="s">
        <v>37</v>
      </c>
      <c r="F6" s="82">
        <v>132</v>
      </c>
      <c r="H6" s="80" t="s">
        <v>36</v>
      </c>
      <c r="I6" s="73">
        <v>6</v>
      </c>
      <c r="J6" s="81" t="s">
        <v>131</v>
      </c>
      <c r="K6" s="48" t="s">
        <v>103</v>
      </c>
      <c r="L6" s="82">
        <v>62.75</v>
      </c>
    </row>
    <row r="7" spans="2:12" ht="15.45" x14ac:dyDescent="0.35">
      <c r="B7" s="80" t="s">
        <v>36</v>
      </c>
      <c r="C7" s="73">
        <v>6</v>
      </c>
      <c r="D7" s="81" t="s">
        <v>115</v>
      </c>
      <c r="E7" s="48" t="s">
        <v>103</v>
      </c>
      <c r="F7" s="82">
        <v>62.75</v>
      </c>
      <c r="G7" s="77"/>
      <c r="H7" s="80" t="s">
        <v>36</v>
      </c>
      <c r="I7" s="73">
        <v>6</v>
      </c>
      <c r="J7" s="81" t="s">
        <v>100</v>
      </c>
      <c r="K7" s="48" t="s">
        <v>121</v>
      </c>
      <c r="L7" s="82">
        <v>138.47</v>
      </c>
    </row>
    <row r="8" spans="2:12" ht="15.45" x14ac:dyDescent="0.35">
      <c r="B8" s="80" t="s">
        <v>36</v>
      </c>
      <c r="C8" s="73">
        <v>6</v>
      </c>
      <c r="D8" s="81" t="s">
        <v>69</v>
      </c>
      <c r="E8" s="48" t="s">
        <v>121</v>
      </c>
      <c r="F8" s="82">
        <v>138.47</v>
      </c>
      <c r="H8" s="80" t="s">
        <v>38</v>
      </c>
      <c r="I8" s="73">
        <v>7</v>
      </c>
      <c r="J8" s="81" t="s">
        <v>100</v>
      </c>
      <c r="K8" s="48" t="s">
        <v>120</v>
      </c>
      <c r="L8" s="82">
        <v>115.49</v>
      </c>
    </row>
    <row r="9" spans="2:12" ht="15.45" x14ac:dyDescent="0.35">
      <c r="B9" s="80" t="s">
        <v>38</v>
      </c>
      <c r="C9" s="73">
        <v>7</v>
      </c>
      <c r="D9" s="81" t="s">
        <v>69</v>
      </c>
      <c r="E9" s="48" t="s">
        <v>120</v>
      </c>
      <c r="F9" s="82">
        <v>115.49</v>
      </c>
      <c r="H9" s="80" t="s">
        <v>40</v>
      </c>
      <c r="I9" s="73">
        <v>9</v>
      </c>
      <c r="J9" s="81" t="s">
        <v>132</v>
      </c>
      <c r="K9" s="48" t="s">
        <v>91</v>
      </c>
      <c r="L9" s="82">
        <v>429</v>
      </c>
    </row>
    <row r="10" spans="2:12" ht="15.45" x14ac:dyDescent="0.35">
      <c r="B10" s="80" t="s">
        <v>40</v>
      </c>
      <c r="C10" s="73">
        <v>9</v>
      </c>
      <c r="D10" s="81" t="s">
        <v>101</v>
      </c>
      <c r="E10" s="48" t="s">
        <v>91</v>
      </c>
      <c r="F10" s="82">
        <v>429</v>
      </c>
      <c r="H10" s="80" t="s">
        <v>40</v>
      </c>
      <c r="I10" s="73">
        <v>9</v>
      </c>
      <c r="J10" s="81" t="s">
        <v>68</v>
      </c>
      <c r="K10" s="48" t="s">
        <v>104</v>
      </c>
      <c r="L10" s="82">
        <v>35.799999999999997</v>
      </c>
    </row>
    <row r="11" spans="2:12" ht="15.45" x14ac:dyDescent="0.35">
      <c r="B11" s="80" t="s">
        <v>40</v>
      </c>
      <c r="C11" s="73">
        <v>9</v>
      </c>
      <c r="D11" s="81" t="s">
        <v>68</v>
      </c>
      <c r="E11" s="48" t="s">
        <v>104</v>
      </c>
      <c r="F11" s="82">
        <v>35.799999999999997</v>
      </c>
      <c r="H11" s="80" t="s">
        <v>93</v>
      </c>
      <c r="I11" s="73">
        <v>13</v>
      </c>
      <c r="J11" s="81" t="s">
        <v>68</v>
      </c>
      <c r="K11" s="48" t="s">
        <v>94</v>
      </c>
      <c r="L11" s="82">
        <v>171.39</v>
      </c>
    </row>
    <row r="12" spans="2:12" ht="15.9" thickBot="1" x14ac:dyDescent="0.4">
      <c r="B12" s="80" t="s">
        <v>107</v>
      </c>
      <c r="C12" s="73">
        <v>27</v>
      </c>
      <c r="D12" s="81" t="s">
        <v>67</v>
      </c>
      <c r="E12" s="48" t="s">
        <v>108</v>
      </c>
      <c r="F12" s="82">
        <v>49.98</v>
      </c>
      <c r="H12" s="83" t="s">
        <v>93</v>
      </c>
      <c r="I12" s="84">
        <v>18</v>
      </c>
      <c r="J12" s="85" t="s">
        <v>68</v>
      </c>
      <c r="K12" s="86" t="s">
        <v>95</v>
      </c>
      <c r="L12" s="87">
        <v>871.89</v>
      </c>
    </row>
    <row r="13" spans="2:12" ht="15.9" thickBot="1" x14ac:dyDescent="0.4">
      <c r="B13" s="80" t="s">
        <v>107</v>
      </c>
      <c r="C13" s="73">
        <v>27</v>
      </c>
      <c r="D13" s="81" t="s">
        <v>41</v>
      </c>
      <c r="E13" s="48" t="s">
        <v>109</v>
      </c>
      <c r="F13" s="82">
        <v>35.99</v>
      </c>
    </row>
    <row r="14" spans="2:12" ht="15.9" thickBot="1" x14ac:dyDescent="0.4">
      <c r="B14" s="80" t="s">
        <v>107</v>
      </c>
      <c r="C14" s="73">
        <v>27</v>
      </c>
      <c r="D14" s="81" t="s">
        <v>124</v>
      </c>
      <c r="E14" s="48" t="s">
        <v>123</v>
      </c>
      <c r="F14" s="82">
        <v>125</v>
      </c>
      <c r="H14" s="124" t="s">
        <v>133</v>
      </c>
      <c r="I14" s="125"/>
      <c r="J14" s="125"/>
      <c r="K14" s="125"/>
      <c r="L14" s="88">
        <f>SUM(L16:L24)</f>
        <v>2399.12</v>
      </c>
    </row>
    <row r="15" spans="2:12" ht="16.3" thickTop="1" thickBot="1" x14ac:dyDescent="0.4">
      <c r="B15" s="80" t="s">
        <v>93</v>
      </c>
      <c r="C15" s="73">
        <v>13</v>
      </c>
      <c r="D15" s="81" t="s">
        <v>68</v>
      </c>
      <c r="E15" s="48" t="s">
        <v>94</v>
      </c>
      <c r="F15" s="82">
        <v>171.39</v>
      </c>
      <c r="H15" s="78" t="s">
        <v>28</v>
      </c>
      <c r="I15" s="74" t="s">
        <v>22</v>
      </c>
      <c r="J15" s="75" t="s">
        <v>29</v>
      </c>
      <c r="K15" s="76" t="s">
        <v>27</v>
      </c>
      <c r="L15" s="79" t="s">
        <v>9</v>
      </c>
    </row>
    <row r="16" spans="2:12" ht="16.3" thickTop="1" thickBot="1" x14ac:dyDescent="0.4">
      <c r="B16" s="83" t="s">
        <v>93</v>
      </c>
      <c r="C16" s="84">
        <v>18</v>
      </c>
      <c r="D16" s="85" t="s">
        <v>68</v>
      </c>
      <c r="E16" s="86" t="s">
        <v>95</v>
      </c>
      <c r="F16" s="87">
        <v>871.89</v>
      </c>
      <c r="H16" s="80" t="s">
        <v>32</v>
      </c>
      <c r="I16" s="73">
        <v>18</v>
      </c>
      <c r="J16" s="81" t="s">
        <v>132</v>
      </c>
      <c r="K16" s="48" t="s">
        <v>91</v>
      </c>
      <c r="L16" s="82">
        <v>541.11</v>
      </c>
    </row>
    <row r="17" spans="2:12" ht="15.45" x14ac:dyDescent="0.35">
      <c r="H17" s="80" t="s">
        <v>125</v>
      </c>
      <c r="I17" s="73">
        <v>20</v>
      </c>
      <c r="J17" s="81" t="s">
        <v>135</v>
      </c>
      <c r="K17" s="48" t="s">
        <v>110</v>
      </c>
      <c r="L17" s="82">
        <v>33.22</v>
      </c>
    </row>
    <row r="18" spans="2:12" ht="15.45" x14ac:dyDescent="0.35">
      <c r="H18" s="80" t="s">
        <v>36</v>
      </c>
      <c r="I18" s="73">
        <v>6</v>
      </c>
      <c r="J18" s="81" t="s">
        <v>136</v>
      </c>
      <c r="K18" s="48" t="s">
        <v>103</v>
      </c>
      <c r="L18" s="82">
        <v>62.75</v>
      </c>
    </row>
    <row r="19" spans="2:12" ht="15.45" x14ac:dyDescent="0.35">
      <c r="H19" s="80" t="s">
        <v>36</v>
      </c>
      <c r="I19" s="73">
        <v>6</v>
      </c>
      <c r="J19" s="81" t="s">
        <v>42</v>
      </c>
      <c r="K19" s="48" t="s">
        <v>121</v>
      </c>
      <c r="L19" s="82">
        <v>138.47</v>
      </c>
    </row>
    <row r="20" spans="2:12" ht="15.9" thickBot="1" x14ac:dyDescent="0.4">
      <c r="H20" s="80" t="s">
        <v>38</v>
      </c>
      <c r="I20" s="73">
        <v>7</v>
      </c>
      <c r="J20" s="81" t="s">
        <v>42</v>
      </c>
      <c r="K20" s="48" t="s">
        <v>120</v>
      </c>
      <c r="L20" s="82">
        <v>115.49</v>
      </c>
    </row>
    <row r="21" spans="2:12" ht="15.9" thickBot="1" x14ac:dyDescent="0.4">
      <c r="B21" s="124" t="s">
        <v>127</v>
      </c>
      <c r="C21" s="125"/>
      <c r="D21" s="125"/>
      <c r="E21" s="125"/>
      <c r="F21" s="88">
        <f>SUM(F23:F34)</f>
        <v>2610.0899999999997</v>
      </c>
      <c r="H21" s="80" t="s">
        <v>40</v>
      </c>
      <c r="I21" s="73">
        <v>9</v>
      </c>
      <c r="J21" s="81" t="s">
        <v>98</v>
      </c>
      <c r="K21" s="48" t="s">
        <v>91</v>
      </c>
      <c r="L21" s="82">
        <v>429</v>
      </c>
    </row>
    <row r="22" spans="2:12" ht="16.3" thickTop="1" thickBot="1" x14ac:dyDescent="0.4">
      <c r="B22" s="78" t="s">
        <v>28</v>
      </c>
      <c r="C22" s="74" t="s">
        <v>22</v>
      </c>
      <c r="D22" s="75" t="s">
        <v>29</v>
      </c>
      <c r="E22" s="76" t="s">
        <v>27</v>
      </c>
      <c r="F22" s="79" t="s">
        <v>9</v>
      </c>
      <c r="H22" s="80" t="s">
        <v>40</v>
      </c>
      <c r="I22" s="73">
        <v>9</v>
      </c>
      <c r="J22" s="81" t="s">
        <v>68</v>
      </c>
      <c r="K22" s="48" t="s">
        <v>104</v>
      </c>
      <c r="L22" s="82">
        <v>35.799999999999997</v>
      </c>
    </row>
    <row r="23" spans="2:12" ht="15.9" thickTop="1" x14ac:dyDescent="0.35">
      <c r="B23" s="80" t="s">
        <v>32</v>
      </c>
      <c r="C23" s="73">
        <v>18</v>
      </c>
      <c r="D23" s="81" t="s">
        <v>101</v>
      </c>
      <c r="E23" s="48" t="s">
        <v>91</v>
      </c>
      <c r="F23" s="82">
        <v>541.11</v>
      </c>
      <c r="H23" s="80" t="s">
        <v>93</v>
      </c>
      <c r="I23" s="73">
        <v>13</v>
      </c>
      <c r="J23" s="81" t="s">
        <v>68</v>
      </c>
      <c r="K23" s="48" t="s">
        <v>94</v>
      </c>
      <c r="L23" s="82">
        <v>171.39</v>
      </c>
    </row>
    <row r="24" spans="2:12" ht="15.9" thickBot="1" x14ac:dyDescent="0.4">
      <c r="B24" s="80" t="s">
        <v>125</v>
      </c>
      <c r="C24" s="73">
        <v>20</v>
      </c>
      <c r="D24" s="81" t="s">
        <v>128</v>
      </c>
      <c r="E24" s="48" t="s">
        <v>110</v>
      </c>
      <c r="F24" s="82">
        <v>33.22</v>
      </c>
      <c r="H24" s="83" t="s">
        <v>93</v>
      </c>
      <c r="I24" s="84">
        <v>18</v>
      </c>
      <c r="J24" s="85" t="s">
        <v>68</v>
      </c>
      <c r="K24" s="86" t="s">
        <v>95</v>
      </c>
      <c r="L24" s="87">
        <v>871.89</v>
      </c>
    </row>
    <row r="25" spans="2:12" ht="15.9" thickBot="1" x14ac:dyDescent="0.4">
      <c r="B25" s="80" t="s">
        <v>36</v>
      </c>
      <c r="C25" s="73">
        <v>6</v>
      </c>
      <c r="D25" s="81" t="s">
        <v>129</v>
      </c>
      <c r="E25" s="48" t="s">
        <v>103</v>
      </c>
      <c r="F25" s="82">
        <v>62.75</v>
      </c>
    </row>
    <row r="26" spans="2:12" ht="15.9" thickBot="1" x14ac:dyDescent="0.4">
      <c r="B26" s="80" t="s">
        <v>36</v>
      </c>
      <c r="C26" s="73">
        <v>6</v>
      </c>
      <c r="D26" s="81" t="s">
        <v>89</v>
      </c>
      <c r="E26" s="48" t="s">
        <v>121</v>
      </c>
      <c r="F26" s="82">
        <v>138.47</v>
      </c>
      <c r="H26" s="124" t="s">
        <v>137</v>
      </c>
      <c r="I26" s="125"/>
      <c r="J26" s="125"/>
      <c r="K26" s="125"/>
      <c r="L26" s="88">
        <f>SUM(L28:L41)</f>
        <v>2145.16</v>
      </c>
    </row>
    <row r="27" spans="2:12" ht="16.3" thickTop="1" thickBot="1" x14ac:dyDescent="0.4">
      <c r="B27" s="80" t="s">
        <v>38</v>
      </c>
      <c r="C27" s="73">
        <v>7</v>
      </c>
      <c r="D27" s="81" t="s">
        <v>89</v>
      </c>
      <c r="E27" s="48" t="s">
        <v>120</v>
      </c>
      <c r="F27" s="82">
        <v>115.49</v>
      </c>
      <c r="H27" s="78" t="s">
        <v>28</v>
      </c>
      <c r="I27" s="74" t="s">
        <v>22</v>
      </c>
      <c r="J27" s="75" t="s">
        <v>29</v>
      </c>
      <c r="K27" s="76" t="s">
        <v>27</v>
      </c>
      <c r="L27" s="79" t="s">
        <v>9</v>
      </c>
    </row>
    <row r="28" spans="2:12" ht="15.9" thickTop="1" x14ac:dyDescent="0.35">
      <c r="B28" s="80" t="s">
        <v>40</v>
      </c>
      <c r="C28" s="73">
        <v>9</v>
      </c>
      <c r="D28" s="81" t="s">
        <v>118</v>
      </c>
      <c r="E28" s="48" t="s">
        <v>91</v>
      </c>
      <c r="F28" s="82">
        <v>429</v>
      </c>
      <c r="H28" s="80" t="s">
        <v>32</v>
      </c>
      <c r="I28" s="73">
        <v>18</v>
      </c>
      <c r="J28" s="81" t="s">
        <v>98</v>
      </c>
      <c r="K28" s="48" t="s">
        <v>91</v>
      </c>
      <c r="L28" s="82">
        <v>541.11</v>
      </c>
    </row>
    <row r="29" spans="2:12" ht="15.45" x14ac:dyDescent="0.35">
      <c r="B29" s="80" t="s">
        <v>40</v>
      </c>
      <c r="C29" s="73">
        <v>9</v>
      </c>
      <c r="D29" s="81" t="s">
        <v>68</v>
      </c>
      <c r="E29" s="48" t="s">
        <v>104</v>
      </c>
      <c r="F29" s="82">
        <v>35.799999999999997</v>
      </c>
      <c r="H29" s="80" t="s">
        <v>125</v>
      </c>
      <c r="I29" s="73">
        <v>20</v>
      </c>
      <c r="J29" s="81" t="s">
        <v>138</v>
      </c>
      <c r="K29" s="48" t="s">
        <v>110</v>
      </c>
      <c r="L29" s="82">
        <v>33.22</v>
      </c>
    </row>
    <row r="30" spans="2:12" ht="15.45" x14ac:dyDescent="0.35">
      <c r="B30" s="80" t="s">
        <v>107</v>
      </c>
      <c r="C30" s="73">
        <v>27</v>
      </c>
      <c r="D30" s="81" t="s">
        <v>85</v>
      </c>
      <c r="E30" s="48" t="s">
        <v>108</v>
      </c>
      <c r="F30" s="82">
        <v>49.98</v>
      </c>
      <c r="H30" s="80" t="s">
        <v>36</v>
      </c>
      <c r="I30" s="73">
        <v>6</v>
      </c>
      <c r="J30" s="81" t="s">
        <v>139</v>
      </c>
      <c r="K30" s="48" t="s">
        <v>103</v>
      </c>
      <c r="L30" s="82">
        <v>62.75</v>
      </c>
    </row>
    <row r="31" spans="2:12" ht="15.45" x14ac:dyDescent="0.35">
      <c r="B31" s="80" t="s">
        <v>107</v>
      </c>
      <c r="C31" s="73">
        <v>27</v>
      </c>
      <c r="D31" s="81" t="s">
        <v>43</v>
      </c>
      <c r="E31" s="48" t="s">
        <v>109</v>
      </c>
      <c r="F31" s="82">
        <v>35.99</v>
      </c>
      <c r="H31" s="80" t="s">
        <v>40</v>
      </c>
      <c r="I31" s="73">
        <v>9</v>
      </c>
      <c r="J31" s="81" t="s">
        <v>116</v>
      </c>
      <c r="K31" s="48" t="s">
        <v>91</v>
      </c>
      <c r="L31" s="82">
        <v>429</v>
      </c>
    </row>
    <row r="32" spans="2:12" ht="15.45" x14ac:dyDescent="0.35">
      <c r="B32" s="80" t="s">
        <v>107</v>
      </c>
      <c r="C32" s="73">
        <v>27</v>
      </c>
      <c r="D32" s="81" t="s">
        <v>99</v>
      </c>
      <c r="E32" s="48" t="s">
        <v>123</v>
      </c>
      <c r="F32" s="82">
        <v>125</v>
      </c>
      <c r="H32" s="80" t="s">
        <v>40</v>
      </c>
      <c r="I32" s="73">
        <v>9</v>
      </c>
      <c r="J32" s="81" t="s">
        <v>68</v>
      </c>
      <c r="K32" s="48" t="s">
        <v>104</v>
      </c>
      <c r="L32" s="82">
        <v>35.799999999999997</v>
      </c>
    </row>
    <row r="33" spans="2:12" ht="15.45" x14ac:dyDescent="0.35">
      <c r="B33" s="80" t="s">
        <v>93</v>
      </c>
      <c r="C33" s="73">
        <v>13</v>
      </c>
      <c r="D33" s="81" t="s">
        <v>68</v>
      </c>
      <c r="E33" s="48" t="s">
        <v>94</v>
      </c>
      <c r="F33" s="82">
        <v>171.39</v>
      </c>
      <c r="H33" s="80" t="s">
        <v>93</v>
      </c>
      <c r="I33" s="73">
        <v>13</v>
      </c>
      <c r="J33" s="81" t="s">
        <v>68</v>
      </c>
      <c r="K33" s="48" t="s">
        <v>94</v>
      </c>
      <c r="L33" s="82">
        <v>171.39</v>
      </c>
    </row>
    <row r="34" spans="2:12" ht="15.9" thickBot="1" x14ac:dyDescent="0.4">
      <c r="B34" s="83" t="s">
        <v>93</v>
      </c>
      <c r="C34" s="84">
        <v>18</v>
      </c>
      <c r="D34" s="85" t="s">
        <v>68</v>
      </c>
      <c r="E34" s="86" t="s">
        <v>95</v>
      </c>
      <c r="F34" s="87">
        <v>871.89</v>
      </c>
      <c r="H34" s="83" t="s">
        <v>93</v>
      </c>
      <c r="I34" s="84">
        <v>18</v>
      </c>
      <c r="J34" s="85" t="s">
        <v>68</v>
      </c>
      <c r="K34" s="86" t="s">
        <v>95</v>
      </c>
      <c r="L34" s="87">
        <v>871.89</v>
      </c>
    </row>
  </sheetData>
  <mergeCells count="5">
    <mergeCell ref="B2:E2"/>
    <mergeCell ref="H2:K2"/>
    <mergeCell ref="B21:E21"/>
    <mergeCell ref="H14:K14"/>
    <mergeCell ref="H26:K26"/>
  </mergeCells>
  <dataValidations count="1">
    <dataValidation allowBlank="1" showInputMessage="1" showErrorMessage="1" prompt="Insira o Valor na coluna sob este cabeçalho." sqref="D3:E3 D22:E22 J3:K3 J15:K15 J27:K27" xr:uid="{12318A23-D1C9-4D74-8E71-26D2B2C88217}"/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B9EC-7EE6-4429-8767-340FB79887B0}">
  <dimension ref="A1:A22"/>
  <sheetViews>
    <sheetView workbookViewId="0">
      <selection activeCell="A20" sqref="A20"/>
    </sheetView>
  </sheetViews>
  <sheetFormatPr defaultRowHeight="14.6" x14ac:dyDescent="0.35"/>
  <cols>
    <col min="1" max="1" width="20.5703125" customWidth="1"/>
    <col min="2" max="2" width="26.0703125" customWidth="1"/>
    <col min="3" max="3" width="19.0703125" customWidth="1"/>
    <col min="4" max="4" width="19.92578125" customWidth="1"/>
    <col min="5" max="5" width="21.5" customWidth="1"/>
  </cols>
  <sheetData>
    <row r="1" spans="1:1" ht="15" x14ac:dyDescent="0.35">
      <c r="A1" s="54" t="s">
        <v>44</v>
      </c>
    </row>
    <row r="2" spans="1:1" x14ac:dyDescent="0.35">
      <c r="A2" t="s">
        <v>45</v>
      </c>
    </row>
    <row r="3" spans="1:1" x14ac:dyDescent="0.35">
      <c r="A3" t="s">
        <v>59</v>
      </c>
    </row>
    <row r="4" spans="1:1" x14ac:dyDescent="0.35">
      <c r="A4" t="s">
        <v>46</v>
      </c>
    </row>
    <row r="5" spans="1:1" x14ac:dyDescent="0.35">
      <c r="A5" t="s">
        <v>62</v>
      </c>
    </row>
    <row r="6" spans="1:1" x14ac:dyDescent="0.35">
      <c r="A6" t="s">
        <v>47</v>
      </c>
    </row>
    <row r="7" spans="1:1" x14ac:dyDescent="0.35">
      <c r="A7" t="s">
        <v>48</v>
      </c>
    </row>
    <row r="8" spans="1:1" x14ac:dyDescent="0.35">
      <c r="A8" t="s">
        <v>49</v>
      </c>
    </row>
    <row r="9" spans="1:1" x14ac:dyDescent="0.35">
      <c r="A9" t="s">
        <v>50</v>
      </c>
    </row>
    <row r="10" spans="1:1" x14ac:dyDescent="0.35">
      <c r="A10" t="s">
        <v>51</v>
      </c>
    </row>
    <row r="11" spans="1:1" x14ac:dyDescent="0.35">
      <c r="A11" t="s">
        <v>52</v>
      </c>
    </row>
    <row r="12" spans="1:1" x14ac:dyDescent="0.35">
      <c r="A12" t="s">
        <v>54</v>
      </c>
    </row>
    <row r="13" spans="1:1" x14ac:dyDescent="0.35">
      <c r="A13" t="s">
        <v>55</v>
      </c>
    </row>
    <row r="14" spans="1:1" x14ac:dyDescent="0.35">
      <c r="A14" t="s">
        <v>60</v>
      </c>
    </row>
    <row r="15" spans="1:1" x14ac:dyDescent="0.35">
      <c r="A15" t="s">
        <v>56</v>
      </c>
    </row>
    <row r="16" spans="1:1" x14ac:dyDescent="0.35">
      <c r="A16" t="s">
        <v>57</v>
      </c>
    </row>
    <row r="17" spans="1:1" x14ac:dyDescent="0.35">
      <c r="A17" t="s">
        <v>61</v>
      </c>
    </row>
    <row r="18" spans="1:1" x14ac:dyDescent="0.35">
      <c r="A18" t="s">
        <v>53</v>
      </c>
    </row>
    <row r="19" spans="1:1" x14ac:dyDescent="0.35">
      <c r="A19" t="s">
        <v>217</v>
      </c>
    </row>
    <row r="20" spans="1:1" x14ac:dyDescent="0.35">
      <c r="A20" t="s">
        <v>113</v>
      </c>
    </row>
    <row r="21" spans="1:1" x14ac:dyDescent="0.35">
      <c r="A21" t="s">
        <v>112</v>
      </c>
    </row>
    <row r="22" spans="1:1" x14ac:dyDescent="0.35">
      <c r="A22" t="s">
        <v>122</v>
      </c>
    </row>
  </sheetData>
  <dataValidations count="1">
    <dataValidation allowBlank="1" showInputMessage="1" showErrorMessage="1" promptTitle="CATEGORIAS" sqref="A2:A22" xr:uid="{69F73E10-8F11-43DC-8EBF-F1D16E68B095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9737F2-E76A-4BC9-A291-43994A7CED4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B07705-85C1-412B-AA65-1DD2446915F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1EC43DD-4486-4744-BCD4-61A52F46C1DE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71af3243-3dd4-4a8d-8c0d-dd76da1f02a5"/>
    <ds:schemaRef ds:uri="http://schemas.microsoft.com/office/infopath/2007/PartnerControls"/>
    <ds:schemaRef ds:uri="230e9df3-be65-4c73-a93b-d1236ebd677e"/>
  </ds:schemaRefs>
</ds:datastoreItem>
</file>

<file path=customXml/itemProps4.xml><?xml version="1.0" encoding="utf-8"?>
<ds:datastoreItem xmlns:ds="http://schemas.openxmlformats.org/officeDocument/2006/customXml" ds:itemID="{236DCE30-6396-452D-9B5E-6324C31F93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TM02930040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10</vt:i4>
      </vt:variant>
    </vt:vector>
  </HeadingPairs>
  <TitlesOfParts>
    <vt:vector size="19" baseType="lpstr">
      <vt:lpstr>Detalhes1</vt:lpstr>
      <vt:lpstr>Detalhes2</vt:lpstr>
      <vt:lpstr>Detalhes3</vt:lpstr>
      <vt:lpstr>Resumo</vt:lpstr>
      <vt:lpstr>Renda mensal</vt:lpstr>
      <vt:lpstr>Despesas mensais</vt:lpstr>
      <vt:lpstr>Cartões</vt:lpstr>
      <vt:lpstr>MÃE</vt:lpstr>
      <vt:lpstr>Listas</vt:lpstr>
      <vt:lpstr>'Cartões'!Cartão</vt:lpstr>
      <vt:lpstr>'Cartões'!FaturaDoCartão</vt:lpstr>
      <vt:lpstr>RegiãoDoTítuloDaLinha1..C8</vt:lpstr>
      <vt:lpstr>RegiãoDoTítuloDaLinha2..C10</vt:lpstr>
      <vt:lpstr>'Cartões'!TítuloDaColuna2</vt:lpstr>
      <vt:lpstr>TítuloDaColuna2</vt:lpstr>
      <vt:lpstr>TítuloDaColuna3</vt:lpstr>
      <vt:lpstr>'Cartões'!Titulos_de_impressao</vt:lpstr>
      <vt:lpstr>'Despesas mensais'!Titulos_de_impressao</vt:lpstr>
      <vt:lpstr>'Renda mensal'!Titulos_de_impressao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2022-11-21T06:13:32Z</dcterms:created>
  <dcterms:modified xsi:type="dcterms:W3CDTF">2026-10-26T18:43:04Z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